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ポータブルコーン貫入試験データシート (記入用)" sheetId="1" state="visible" r:id="rId1"/>
  </sheets>
  <definedNames>
    <definedName name="_xlnm.Print_Area" localSheetId="0">'ポータブルコーン貫入試験データシート (記入用)'!$A$1:$R$54</definedName>
  </definedNames>
  <calcPr calcId="18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_ "/>
    <numFmt numFmtId="165" formatCode="[$-F800]dddd\,\ mmmm\ dd\,\ yyyy"/>
    <numFmt numFmtId="166" formatCode="0.00_ "/>
    <numFmt numFmtId="167" formatCode="0.0;-0.0;;"/>
  </numFmts>
  <fonts count="57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b val="1"/>
      <sz val="14"/>
    </font>
    <font>
      <name val="Century"/>
      <family val="1"/>
      <b val="1"/>
      <sz val="14"/>
    </font>
    <font>
      <name val="Century"/>
      <family val="1"/>
      <color indexed="8"/>
      <sz val="8"/>
    </font>
    <font>
      <name val="Century"/>
      <family val="1"/>
      <color indexed="8"/>
      <sz val="8"/>
      <vertAlign val="subscript"/>
    </font>
    <font>
      <name val="Century"/>
      <family val="1"/>
      <color indexed="8"/>
      <sz val="8"/>
      <vertAlign val="superscript"/>
    </font>
    <font>
      <name val="Century"/>
      <family val="1"/>
      <i val="1"/>
      <color indexed="8"/>
      <sz val="8"/>
    </font>
    <font>
      <name val="ＭＳ Ｐゴシック"/>
      <charset val="128"/>
      <family val="3"/>
      <color indexed="8"/>
      <sz val="8"/>
    </font>
    <font>
      <name val="ＭＳ Ｐゴシック"/>
      <charset val="128"/>
      <family val="3"/>
      <color indexed="8"/>
      <sz val="6"/>
    </font>
    <font>
      <name val="ＭＳ Ｐ明朝"/>
      <charset val="128"/>
      <family val="1"/>
      <i val="1"/>
      <color indexed="8"/>
      <sz val="6"/>
    </font>
    <font>
      <name val="ＭＳ Ｐ明朝"/>
      <charset val="128"/>
      <family val="1"/>
      <color indexed="8"/>
      <sz val="6"/>
      <vertAlign val="subscript"/>
    </font>
    <font>
      <name val="ＭＳ 明朝"/>
      <charset val="128"/>
      <family val="1"/>
      <color indexed="8"/>
      <sz val="11"/>
    </font>
    <font>
      <name val="Times New Roman"/>
      <family val="1"/>
      <color indexed="8"/>
      <sz val="8"/>
    </font>
    <font>
      <name val="Times New Roman"/>
      <family val="1"/>
      <i val="1"/>
      <color indexed="8"/>
      <sz val="8"/>
    </font>
    <font>
      <name val="Times New Roman"/>
      <family val="1"/>
      <color indexed="8"/>
      <sz val="8"/>
      <vertAlign val="subscript"/>
    </font>
    <font>
      <name val="Times New Roman"/>
      <family val="1"/>
      <i val="1"/>
      <color indexed="8"/>
      <sz val="8"/>
      <vertAlign val="subscript"/>
    </font>
    <font>
      <name val="Times New Roman"/>
      <family val="1"/>
      <color indexed="8"/>
      <sz val="8"/>
      <vertAlign val="superscript"/>
    </font>
    <font>
      <name val="Times New Roman"/>
      <family val="1"/>
      <color indexed="8"/>
      <sz val="6"/>
    </font>
    <font>
      <name val="Times New Roman"/>
      <family val="1"/>
      <i val="1"/>
      <color indexed="8"/>
      <sz val="6"/>
    </font>
    <font>
      <name val="Times New Roman"/>
      <family val="1"/>
      <i val="1"/>
      <color indexed="8"/>
      <sz val="6"/>
      <vertAlign val="subscript"/>
    </font>
    <font>
      <name val="Times New Roman"/>
      <family val="1"/>
      <color indexed="8"/>
      <sz val="6"/>
      <vertAlign val="superscript"/>
    </font>
    <font>
      <name val="Times New Roman"/>
      <family val="1"/>
      <color indexed="8"/>
      <sz val="6"/>
      <vertAlign val="subscript"/>
    </font>
    <font>
      <name val="ＭＳ Ｐゴシック"/>
      <charset val="128"/>
      <family val="3"/>
      <color theme="1"/>
      <sz val="6"/>
      <scheme val="minor"/>
    </font>
    <font>
      <name val="Century"/>
      <family val="1"/>
      <color theme="1"/>
      <sz val="6"/>
    </font>
    <font>
      <name val="ＭＳ Ｐゴシック"/>
      <charset val="128"/>
      <family val="3"/>
      <color theme="1"/>
      <sz val="10"/>
      <scheme val="minor"/>
    </font>
    <font>
      <name val="Century"/>
      <family val="1"/>
      <color theme="1"/>
      <sz val="10"/>
    </font>
    <font>
      <name val="Century"/>
      <family val="1"/>
      <color theme="1"/>
      <sz val="8"/>
    </font>
    <font>
      <name val="Times New Roman"/>
      <family val="1"/>
      <color theme="1"/>
      <sz val="11"/>
    </font>
    <font>
      <name val="Times New Roman"/>
      <family val="1"/>
      <i val="1"/>
      <color theme="1"/>
      <sz val="6"/>
    </font>
    <font>
      <name val="Times New Roman"/>
      <family val="1"/>
      <color theme="1"/>
      <sz val="6"/>
    </font>
    <font>
      <name val="Times New Roman"/>
      <family val="1"/>
      <color theme="1"/>
      <sz val="8"/>
    </font>
    <font>
      <name val="ＭＳ Ｐゴシック"/>
      <charset val="128"/>
      <family val="3"/>
      <color theme="1"/>
      <sz val="8"/>
      <scheme val="minor"/>
    </font>
    <font>
      <name val="Times New Roman"/>
      <family val="1"/>
      <color theme="1"/>
      <sz val="12"/>
    </font>
    <font>
      <name val="ＭＳ Ｐゴシック"/>
      <charset val="128"/>
      <family val="3"/>
      <sz val="6"/>
      <scheme val="minor"/>
    </font>
    <font>
      <name val="ＭＳ Ｐ明朝"/>
      <charset val="128"/>
      <family val="1"/>
      <color theme="1"/>
      <sz val="11"/>
    </font>
    <font>
      <name val="ＭＳ Ｐゴシック"/>
      <charset val="128"/>
      <family val="3"/>
      <color theme="1"/>
      <sz val="12"/>
    </font>
    <font>
      <name val="Yu Gothic"/>
      <b val="1"/>
      <sz val="14"/>
    </font>
    <font>
      <name val="Yu Gothic"/>
      <color theme="1"/>
      <sz val="11"/>
    </font>
    <font>
      <name val="Yu Gothic"/>
      <color theme="1"/>
      <sz val="8"/>
    </font>
    <font>
      <name val="Yu Gothic"/>
      <color theme="1"/>
      <sz val="12"/>
    </font>
    <font>
      <name val="Yu Gothic"/>
      <color theme="1"/>
      <sz val="10"/>
    </font>
    <font>
      <name val="Yu Gothic"/>
      <color theme="1"/>
      <sz val="6"/>
    </font>
    <font>
      <name val="Yu Gothic"/>
      <color indexed="8"/>
      <sz val="11"/>
    </font>
    <font>
      <name val="Yu Gothic"/>
      <color theme="1"/>
      <sz val="6.6"/>
    </font>
    <font>
      <name val="Yu Gothic"/>
      <i val="1"/>
      <color theme="1"/>
      <sz val="6.6"/>
    </font>
    <font>
      <name val="Yu Gothic"/>
      <b val="1"/>
      <sz val="11.5"/>
    </font>
    <font>
      <name val="Yu Gothic"/>
      <sz val="6.5"/>
    </font>
    <font>
      <name val="Yu Gothic"/>
      <sz val="7"/>
    </font>
    <font>
      <name val="Yu Gothic"/>
      <sz val="6.2"/>
    </font>
    <font>
      <name val="Yu Gothic"/>
      <sz val="5.6"/>
    </font>
    <font>
      <name val="Yu Gothic"/>
      <sz val="7.7"/>
    </font>
    <font>
      <name val="Yu Gothic"/>
      <sz val="6.6"/>
    </font>
    <font>
      <name val="Yu Gothic"/>
      <sz val="6.4"/>
    </font>
    <font>
      <name val="Yu Gothic"/>
      <sz val="6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DEBF7"/>
      </patternFill>
    </fill>
    <fill>
      <patternFill patternType="solid">
        <fgColor rgb="00DCECF6"/>
      </patternFill>
    </fill>
    <fill>
      <patternFill patternType="solid">
        <fgColor rgb="00FFFFFF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distributed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27" fillId="0" borderId="4" applyAlignment="1" pivotButton="0" quotePrefix="0" xfId="0">
      <alignment vertical="center"/>
    </xf>
    <xf numFmtId="0" fontId="27" fillId="0" borderId="4" applyAlignment="1" pivotButton="0" quotePrefix="0" xfId="0">
      <alignment horizontal="left" vertical="center"/>
    </xf>
    <xf numFmtId="0" fontId="28" fillId="0" borderId="4" applyAlignment="1" pivotButton="0" quotePrefix="0" xfId="0">
      <alignment vertical="center"/>
    </xf>
    <xf numFmtId="0" fontId="29" fillId="0" borderId="4" applyAlignment="1" pivotButton="0" quotePrefix="0" xfId="0">
      <alignment vertical="center"/>
    </xf>
    <xf numFmtId="0" fontId="27" fillId="0" borderId="6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29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5" fillId="0" borderId="7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30" fillId="0" borderId="7" applyAlignment="1" pivotButton="0" quotePrefix="0" xfId="0">
      <alignment vertical="center"/>
    </xf>
    <xf numFmtId="0" fontId="30" fillId="0" borderId="11" applyAlignment="1" pivotButton="0" quotePrefix="0" xfId="0">
      <alignment vertical="center"/>
    </xf>
    <xf numFmtId="0" fontId="30" fillId="0" borderId="10" applyAlignment="1" pivotButton="0" quotePrefix="0" xfId="0">
      <alignment vertical="center"/>
    </xf>
    <xf numFmtId="0" fontId="30" fillId="0" borderId="6" applyAlignment="1" pivotButton="0" quotePrefix="0" xfId="0">
      <alignment vertical="center"/>
    </xf>
    <xf numFmtId="0" fontId="30" fillId="0" borderId="3" applyAlignment="1" pivotButton="0" quotePrefix="0" xfId="0">
      <alignment vertical="center"/>
    </xf>
    <xf numFmtId="164" fontId="30" fillId="0" borderId="5" applyAlignment="1" pivotButton="0" quotePrefix="0" xfId="0">
      <alignment vertical="center"/>
    </xf>
    <xf numFmtId="164" fontId="30" fillId="0" borderId="1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 vertical="center"/>
    </xf>
    <xf numFmtId="0" fontId="32" fillId="0" borderId="13" applyAlignment="1" pivotButton="0" quotePrefix="0" xfId="0">
      <alignment horizontal="right" vertical="center"/>
    </xf>
    <xf numFmtId="0" fontId="32" fillId="0" borderId="9" applyAlignment="1" pivotButton="0" quotePrefix="0" xfId="0">
      <alignment horizontal="center" vertical="center"/>
    </xf>
    <xf numFmtId="0" fontId="32" fillId="0" borderId="13" applyAlignment="1" pivotButton="0" quotePrefix="0" xfId="0">
      <alignment horizontal="center" vertical="center"/>
    </xf>
    <xf numFmtId="0" fontId="32" fillId="0" borderId="15" applyAlignment="1" pivotButton="0" quotePrefix="0" xfId="0">
      <alignment horizontal="center" vertical="center"/>
    </xf>
    <xf numFmtId="0" fontId="32" fillId="0" borderId="17" applyAlignment="1" pivotButton="0" quotePrefix="0" xfId="0">
      <alignment horizontal="right" vertical="center"/>
    </xf>
    <xf numFmtId="0" fontId="32" fillId="0" borderId="17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32" fillId="0" borderId="16" applyAlignment="1" pivotButton="0" quotePrefix="0" xfId="0">
      <alignment horizontal="distributed" vertical="center"/>
    </xf>
    <xf numFmtId="0" fontId="32" fillId="0" borderId="14" applyAlignment="1" pivotButton="0" quotePrefix="0" xfId="0">
      <alignment horizontal="distributed" vertical="center"/>
    </xf>
    <xf numFmtId="0" fontId="32" fillId="0" borderId="18" applyAlignment="1" pivotButton="0" quotePrefix="0" xfId="0">
      <alignment horizontal="distributed" vertical="center"/>
    </xf>
    <xf numFmtId="0" fontId="30" fillId="0" borderId="9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32" fillId="0" borderId="16" applyAlignment="1" pivotButton="0" quotePrefix="0" xfId="0">
      <alignment horizontal="distributed" vertical="center"/>
    </xf>
    <xf numFmtId="0" fontId="32" fillId="0" borderId="14" applyAlignment="1" pivotButton="0" quotePrefix="0" xfId="0">
      <alignment horizontal="distributed" vertical="center"/>
    </xf>
    <xf numFmtId="0" fontId="32" fillId="0" borderId="18" applyAlignment="1" pivotButton="0" quotePrefix="0" xfId="0">
      <alignment horizontal="distributed" vertical="center"/>
    </xf>
    <xf numFmtId="0" fontId="32" fillId="0" borderId="17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2" fillId="0" borderId="14" applyAlignment="1" pivotButton="0" quotePrefix="0" xfId="0">
      <alignment horizontal="distributed" vertical="center"/>
    </xf>
    <xf numFmtId="0" fontId="30" fillId="0" borderId="10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32" fillId="0" borderId="17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/>
    </xf>
    <xf numFmtId="0" fontId="32" fillId="0" borderId="16" applyAlignment="1" pivotButton="0" quotePrefix="0" xfId="0">
      <alignment horizontal="distributed" vertical="center"/>
    </xf>
    <xf numFmtId="0" fontId="32" fillId="0" borderId="18" applyAlignment="1" pivotButton="0" quotePrefix="0" xfId="0">
      <alignment horizontal="distributed" vertical="center"/>
    </xf>
    <xf numFmtId="0" fontId="30" fillId="2" borderId="7" applyAlignment="1" pivotButton="0" quotePrefix="0" xfId="0">
      <alignment vertical="center"/>
    </xf>
    <xf numFmtId="0" fontId="30" fillId="2" borderId="11" applyAlignment="1" pivotButton="0" quotePrefix="0" xfId="0">
      <alignment vertical="center"/>
    </xf>
    <xf numFmtId="0" fontId="14" fillId="0" borderId="6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2" fillId="0" borderId="17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32" fillId="0" borderId="16" applyAlignment="1" pivotButton="0" quotePrefix="0" xfId="0">
      <alignment horizontal="distributed" vertical="center"/>
    </xf>
    <xf numFmtId="0" fontId="32" fillId="0" borderId="18" applyAlignment="1" pivotButton="0" quotePrefix="0" xfId="0">
      <alignment horizontal="distributed" vertical="center"/>
    </xf>
    <xf numFmtId="0" fontId="32" fillId="0" borderId="14" applyAlignment="1" pivotButton="0" quotePrefix="0" xfId="0">
      <alignment horizontal="distributed" vertical="center"/>
    </xf>
    <xf numFmtId="0" fontId="30" fillId="0" borderId="9" applyAlignment="1" pivotButton="0" quotePrefix="0" xfId="0">
      <alignment horizontal="center" vertical="center"/>
    </xf>
    <xf numFmtId="0" fontId="30" fillId="0" borderId="7" applyAlignment="1" pivotButton="0" quotePrefix="0" xfId="0">
      <alignment vertical="center"/>
    </xf>
    <xf numFmtId="0" fontId="30" fillId="0" borderId="1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34" fillId="0" borderId="0" applyAlignment="1" pivotButton="0" quotePrefix="0" xfId="0">
      <alignment horizontal="distributed" vertical="center"/>
    </xf>
    <xf numFmtId="165" fontId="38" fillId="0" borderId="31" applyAlignment="1" pivotButton="0" quotePrefix="0" xfId="0">
      <alignment horizontal="center" vertical="center"/>
    </xf>
    <xf numFmtId="0" fontId="34" fillId="0" borderId="6" applyAlignment="1" pivotButton="0" quotePrefix="0" xfId="0">
      <alignment horizontal="center" vertical="center"/>
    </xf>
    <xf numFmtId="0" fontId="34" fillId="0" borderId="6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2" fillId="0" borderId="9" applyAlignment="1" pivotButton="0" quotePrefix="0" xfId="0">
      <alignment horizontal="distributed" vertical="center"/>
    </xf>
    <xf numFmtId="0" fontId="32" fillId="0" borderId="14" applyAlignment="1" pivotButton="0" quotePrefix="0" xfId="0">
      <alignment horizontal="distributed" vertical="center"/>
    </xf>
    <xf numFmtId="0" fontId="32" fillId="0" borderId="13" applyAlignment="1" pivotButton="0" quotePrefix="0" xfId="0">
      <alignment horizontal="distributed" vertical="center"/>
    </xf>
    <xf numFmtId="0" fontId="30" fillId="0" borderId="14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2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1" fillId="0" borderId="29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/>
    </xf>
    <xf numFmtId="0" fontId="32" fillId="0" borderId="18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32" fillId="0" borderId="17" applyAlignment="1" pivotButton="0" quotePrefix="0" xfId="0">
      <alignment horizontal="center" vertical="center"/>
    </xf>
    <xf numFmtId="0" fontId="32" fillId="0" borderId="10" applyAlignment="1" pivotButton="0" quotePrefix="0" xfId="0">
      <alignment horizontal="distributed" vertical="center"/>
    </xf>
    <xf numFmtId="0" fontId="30" fillId="0" borderId="16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/>
    </xf>
    <xf numFmtId="0" fontId="32" fillId="0" borderId="16" applyAlignment="1" pivotButton="0" quotePrefix="0" xfId="0">
      <alignment horizontal="distributed" vertical="center"/>
    </xf>
    <xf numFmtId="0" fontId="32" fillId="0" borderId="6" applyAlignment="1" pivotButton="0" quotePrefix="0" xfId="0">
      <alignment horizontal="distributed" vertical="center"/>
    </xf>
    <xf numFmtId="0" fontId="30" fillId="0" borderId="18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0" fontId="30" fillId="0" borderId="17" applyAlignment="1" pivotButton="0" quotePrefix="0" xfId="0">
      <alignment horizontal="center" vertical="center"/>
    </xf>
    <xf numFmtId="0" fontId="32" fillId="0" borderId="18" applyAlignment="1" pivotButton="0" quotePrefix="0" xfId="0">
      <alignment horizontal="distributed" vertical="center"/>
    </xf>
    <xf numFmtId="0" fontId="30" fillId="0" borderId="29" applyAlignment="1" pivotButton="0" quotePrefix="0" xfId="0">
      <alignment horizontal="center" vertical="center"/>
    </xf>
    <xf numFmtId="0" fontId="30" fillId="0" borderId="19" applyAlignment="1" pivotButton="0" quotePrefix="0" xfId="0">
      <alignment horizontal="center" vertical="center"/>
    </xf>
    <xf numFmtId="0" fontId="30" fillId="0" borderId="5" applyAlignment="1" pivotButton="0" quotePrefix="0" xfId="0">
      <alignment horizontal="center" vertical="center"/>
    </xf>
    <xf numFmtId="0" fontId="30" fillId="0" borderId="20" applyAlignment="1" pivotButton="0" quotePrefix="0" xfId="0">
      <alignment horizontal="center" vertical="center"/>
    </xf>
    <xf numFmtId="166" fontId="30" fillId="0" borderId="20" applyAlignment="1" pivotButton="0" quotePrefix="0" xfId="0">
      <alignment horizontal="right" vertical="center"/>
    </xf>
    <xf numFmtId="166" fontId="30" fillId="0" borderId="19" applyAlignment="1" pivotButton="0" quotePrefix="0" xfId="0">
      <alignment horizontal="right" vertical="center"/>
    </xf>
    <xf numFmtId="0" fontId="30" fillId="0" borderId="26" applyAlignment="1" pivotButton="0" quotePrefix="0" xfId="0">
      <alignment horizontal="center" vertical="center"/>
    </xf>
    <xf numFmtId="0" fontId="30" fillId="0" borderId="27" applyAlignment="1" pivotButton="0" quotePrefix="0" xfId="0">
      <alignment horizontal="center" vertical="center"/>
    </xf>
    <xf numFmtId="0" fontId="32" fillId="0" borderId="19" applyAlignment="1" pivotButton="0" quotePrefix="0" xfId="0">
      <alignment horizontal="center" vertical="center"/>
    </xf>
    <xf numFmtId="0" fontId="32" fillId="0" borderId="5" applyAlignment="1" pivotButton="0" quotePrefix="0" xfId="0">
      <alignment horizontal="center" vertical="center"/>
    </xf>
    <xf numFmtId="0" fontId="32" fillId="0" borderId="20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30" fillId="0" borderId="22" applyAlignment="1" pivotButton="0" quotePrefix="0" xfId="0">
      <alignment horizontal="center" vertical="center"/>
    </xf>
    <xf numFmtId="0" fontId="30" fillId="0" borderId="23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/>
    </xf>
    <xf numFmtId="0" fontId="30" fillId="0" borderId="25" applyAlignment="1" pivotButton="0" quotePrefix="0" xfId="0">
      <alignment horizontal="center" vertical="center"/>
    </xf>
    <xf numFmtId="166" fontId="30" fillId="0" borderId="24" applyAlignment="1" pivotButton="0" quotePrefix="0" xfId="0">
      <alignment horizontal="right" vertical="center"/>
    </xf>
    <xf numFmtId="166" fontId="30" fillId="0" borderId="25" applyAlignment="1" pivotButton="0" quotePrefix="0" xfId="0">
      <alignment horizontal="right" vertical="center"/>
    </xf>
    <xf numFmtId="0" fontId="37" fillId="0" borderId="21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/>
    </xf>
    <xf numFmtId="0" fontId="30" fillId="0" borderId="25" applyAlignment="1" pivotButton="0" quotePrefix="0" xfId="0">
      <alignment horizontal="center" vertical="center"/>
    </xf>
    <xf numFmtId="0" fontId="34" fillId="0" borderId="5" applyAlignment="1" pivotButton="0" quotePrefix="0" xfId="0">
      <alignment horizontal="left" vertical="top"/>
    </xf>
    <xf numFmtId="0" fontId="33" fillId="0" borderId="0" applyAlignment="1" pivotButton="0" quotePrefix="0" xfId="0">
      <alignment horizontal="right" vertical="center"/>
    </xf>
    <xf numFmtId="0" fontId="33" fillId="0" borderId="4" applyAlignment="1" pivotButton="0" quotePrefix="0" xfId="0">
      <alignment horizontal="center" vertical="center"/>
    </xf>
    <xf numFmtId="165" fontId="38" fillId="0" borderId="31" applyAlignment="1" pivotButton="0" quotePrefix="0" xfId="0">
      <alignment horizontal="center" vertical="center" shrinkToFit="1"/>
    </xf>
    <xf numFmtId="165" fontId="35" fillId="0" borderId="31" applyAlignment="1" pivotButton="0" quotePrefix="0" xfId="0">
      <alignment horizontal="center" vertical="center"/>
    </xf>
    <xf numFmtId="0" fontId="30" fillId="2" borderId="14" applyAlignment="1" pivotButton="0" quotePrefix="0" xfId="0">
      <alignment horizontal="center" vertical="center"/>
    </xf>
    <xf numFmtId="0" fontId="30" fillId="2" borderId="9" applyAlignment="1" pivotButton="0" quotePrefix="0" xfId="0">
      <alignment horizontal="center" vertical="center"/>
    </xf>
    <xf numFmtId="166" fontId="30" fillId="2" borderId="20" applyAlignment="1" pivotButton="0" quotePrefix="0" xfId="0">
      <alignment horizontal="right" vertical="center"/>
    </xf>
    <xf numFmtId="166" fontId="30" fillId="2" borderId="19" applyAlignment="1" pivotButton="0" quotePrefix="0" xfId="0">
      <alignment horizontal="right" vertical="center"/>
    </xf>
    <xf numFmtId="166" fontId="30" fillId="2" borderId="24" applyAlignment="1" pivotButton="0" quotePrefix="0" xfId="0">
      <alignment horizontal="right" vertical="center"/>
    </xf>
    <xf numFmtId="166" fontId="30" fillId="2" borderId="25" applyAlignment="1" pivotButton="0" quotePrefix="0" xfId="0">
      <alignment horizontal="right" vertical="center"/>
    </xf>
    <xf numFmtId="166" fontId="30" fillId="0" borderId="24" applyAlignment="1" pivotButton="0" quotePrefix="0" xfId="0">
      <alignment horizontal="right" vertical="center"/>
    </xf>
    <xf numFmtId="166" fontId="30" fillId="0" borderId="25" applyAlignment="1" pivotButton="0" quotePrefix="0" xfId="0">
      <alignment horizontal="right" vertical="center"/>
    </xf>
    <xf numFmtId="166" fontId="30" fillId="0" borderId="20" applyAlignment="1" pivotButton="0" quotePrefix="0" xfId="0">
      <alignment horizontal="right" vertical="center"/>
    </xf>
    <xf numFmtId="166" fontId="30" fillId="0" borderId="19" applyAlignment="1" pivotButton="0" quotePrefix="0" xfId="0">
      <alignment horizontal="right" vertical="center"/>
    </xf>
    <xf numFmtId="0" fontId="30" fillId="0" borderId="14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28" pivotButton="0" quotePrefix="0" xfId="0"/>
    <xf numFmtId="0" fontId="4" fillId="0" borderId="4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1" pivotButton="0" quotePrefix="0" xfId="0"/>
    <xf numFmtId="165" fontId="35" fillId="0" borderId="3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2" pivotButton="0" quotePrefix="0" xfId="0"/>
    <xf numFmtId="0" fontId="0" fillId="0" borderId="9" pivotButton="0" quotePrefix="0" xfId="0"/>
    <xf numFmtId="0" fontId="32" fillId="0" borderId="37" applyAlignment="1" pivotButton="0" quotePrefix="0" xfId="0">
      <alignment horizontal="distributed" vertical="center"/>
    </xf>
    <xf numFmtId="0" fontId="0" fillId="0" borderId="13" pivotButton="0" quotePrefix="0" xfId="0"/>
    <xf numFmtId="0" fontId="0" fillId="0" borderId="10" pivotButton="0" quotePrefix="0" xfId="0"/>
    <xf numFmtId="0" fontId="30" fillId="0" borderId="11" applyAlignment="1" pivotButton="0" quotePrefix="0" xfId="0">
      <alignment horizontal="center" vertical="center"/>
    </xf>
    <xf numFmtId="0" fontId="0" fillId="0" borderId="15" pivotButton="0" quotePrefix="0" xfId="0"/>
    <xf numFmtId="0" fontId="30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3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25" fillId="0" borderId="8" applyAlignment="1" pivotButton="0" quotePrefix="0" xfId="0">
      <alignment horizontal="center" vertical="center"/>
    </xf>
    <xf numFmtId="0" fontId="0" fillId="0" borderId="12" pivotButton="0" quotePrefix="0" xfId="0"/>
    <xf numFmtId="0" fontId="25" fillId="0" borderId="36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8" pivotButton="0" quotePrefix="0" xfId="0"/>
    <xf numFmtId="164" fontId="30" fillId="0" borderId="5" applyAlignment="1" pivotButton="0" quotePrefix="0" xfId="0">
      <alignment vertical="center"/>
    </xf>
    <xf numFmtId="0" fontId="30" fillId="0" borderId="7" applyAlignment="1" pivotButton="0" quotePrefix="0" xfId="0">
      <alignment horizontal="center" vertical="center"/>
    </xf>
    <xf numFmtId="0" fontId="30" fillId="3" borderId="5" applyAlignment="1" pivotButton="0" quotePrefix="0" xfId="0">
      <alignment horizontal="center" vertical="center"/>
    </xf>
    <xf numFmtId="167" fontId="30" fillId="2" borderId="7" applyAlignment="1" pivotButton="0" quotePrefix="0" xfId="0">
      <alignment vertical="center"/>
    </xf>
    <xf numFmtId="167" fontId="30" fillId="2" borderId="20" applyAlignment="1" pivotButton="0" quotePrefix="0" xfId="0">
      <alignment horizontal="right" vertical="center"/>
    </xf>
    <xf numFmtId="0" fontId="0" fillId="0" borderId="35" pivotButton="0" quotePrefix="0" xfId="0"/>
    <xf numFmtId="164" fontId="30" fillId="0" borderId="10" applyAlignment="1" pivotButton="0" quotePrefix="0" xfId="0">
      <alignment vertical="center"/>
    </xf>
    <xf numFmtId="0" fontId="0" fillId="0" borderId="24" pivotButton="0" quotePrefix="0" xfId="0"/>
    <xf numFmtId="0" fontId="30" fillId="3" borderId="24" applyAlignment="1" pivotButton="0" quotePrefix="0" xfId="0">
      <alignment horizontal="center" vertical="center"/>
    </xf>
    <xf numFmtId="167" fontId="30" fillId="2" borderId="11" applyAlignment="1" pivotButton="0" quotePrefix="0" xfId="0">
      <alignment vertical="center"/>
    </xf>
    <xf numFmtId="167" fontId="30" fillId="2" borderId="24" applyAlignment="1" pivotButton="0" quotePrefix="0" xfId="0">
      <alignment horizontal="right" vertical="center"/>
    </xf>
    <xf numFmtId="0" fontId="0" fillId="0" borderId="4" pivotButton="0" quotePrefix="0" xfId="0"/>
    <xf numFmtId="0" fontId="48" fillId="0" borderId="28" applyAlignment="1" pivotButton="0" quotePrefix="0" xfId="0">
      <alignment horizontal="center" vertical="center"/>
    </xf>
    <xf numFmtId="0" fontId="40" fillId="0" borderId="2" pivotButton="0" quotePrefix="0" xfId="0"/>
    <xf numFmtId="0" fontId="40" fillId="0" borderId="28" pivotButton="0" quotePrefix="0" xfId="0"/>
    <xf numFmtId="0" fontId="48" fillId="0" borderId="40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40" fillId="0" borderId="1" pivotButton="0" quotePrefix="0" xfId="0"/>
    <xf numFmtId="0" fontId="40" fillId="0" borderId="0" applyAlignment="1" pivotButton="0" quotePrefix="0" xfId="0">
      <alignment horizontal="distributed" vertical="center"/>
    </xf>
    <xf numFmtId="0" fontId="40" fillId="0" borderId="1" applyAlignment="1" pivotButton="0" quotePrefix="0" xfId="0">
      <alignment vertical="center"/>
    </xf>
    <xf numFmtId="0" fontId="50" fillId="0" borderId="31" applyAlignment="1" pivotButton="0" quotePrefix="0" xfId="0">
      <alignment horizontal="center" vertical="center" shrinkToFit="1"/>
    </xf>
    <xf numFmtId="0" fontId="40" fillId="0" borderId="31" pivotButton="0" quotePrefix="0" xfId="0"/>
    <xf numFmtId="0" fontId="40" fillId="0" borderId="0" applyAlignment="1" pivotButton="0" quotePrefix="0" xfId="0">
      <alignment vertical="center"/>
    </xf>
    <xf numFmtId="0" fontId="49" fillId="0" borderId="0" applyAlignment="1" pivotButton="0" quotePrefix="0" xfId="0">
      <alignment horizontal="center" vertical="center"/>
    </xf>
    <xf numFmtId="0" fontId="40" fillId="0" borderId="0" pivotButton="0" quotePrefix="0" xfId="0"/>
    <xf numFmtId="165" fontId="50" fillId="0" borderId="31" applyAlignment="1" pivotButton="0" quotePrefix="0" xfId="0">
      <alignment horizontal="center" vertical="center" shrinkToFit="1"/>
    </xf>
    <xf numFmtId="0" fontId="49" fillId="0" borderId="6" applyAlignment="1" pivotButton="0" quotePrefix="0" xfId="0">
      <alignment horizontal="center" vertical="center"/>
    </xf>
    <xf numFmtId="0" fontId="40" fillId="0" borderId="6" pivotButton="0" quotePrefix="0" xfId="0"/>
    <xf numFmtId="0" fontId="50" fillId="0" borderId="6" applyAlignment="1" pivotButton="0" quotePrefix="0" xfId="0">
      <alignment horizontal="center" vertical="center" shrinkToFit="1"/>
    </xf>
    <xf numFmtId="0" fontId="50" fillId="0" borderId="32" applyAlignment="1" pivotButton="0" quotePrefix="0" xfId="0">
      <alignment horizontal="center" vertical="center" shrinkToFit="1"/>
    </xf>
    <xf numFmtId="0" fontId="40" fillId="0" borderId="32" pivotButton="0" quotePrefix="0" xfId="0"/>
    <xf numFmtId="0" fontId="50" fillId="0" borderId="0" applyAlignment="1" pivotButton="0" quotePrefix="0" xfId="0">
      <alignment horizontal="center" vertical="center" shrinkToFit="1"/>
    </xf>
    <xf numFmtId="0" fontId="51" fillId="0" borderId="9" applyAlignment="1" pivotButton="0" quotePrefix="0" xfId="0">
      <alignment horizontal="center" vertical="center" shrinkToFit="1"/>
    </xf>
    <xf numFmtId="0" fontId="51" fillId="0" borderId="13" applyAlignment="1" pivotButton="0" quotePrefix="0" xfId="0">
      <alignment horizontal="center" vertical="center" shrinkToFit="1"/>
    </xf>
    <xf numFmtId="0" fontId="51" fillId="0" borderId="37" applyAlignment="1" pivotButton="0" quotePrefix="0" xfId="0">
      <alignment horizontal="center" vertical="center" shrinkToFit="1"/>
    </xf>
    <xf numFmtId="0" fontId="51" fillId="0" borderId="14" applyAlignment="1" pivotButton="0" quotePrefix="0" xfId="0">
      <alignment horizontal="center" vertical="center" shrinkToFit="1"/>
    </xf>
    <xf numFmtId="0" fontId="52" fillId="0" borderId="9" applyAlignment="1" pivotButton="0" quotePrefix="0" xfId="0">
      <alignment horizontal="center" vertical="center" shrinkToFit="1"/>
    </xf>
    <xf numFmtId="0" fontId="53" fillId="2" borderId="14" applyAlignment="1" pivotButton="0" quotePrefix="0" xfId="0">
      <alignment horizontal="center" vertical="center" shrinkToFit="1"/>
    </xf>
    <xf numFmtId="0" fontId="52" fillId="0" borderId="13" applyAlignment="1" pivotButton="0" quotePrefix="0" xfId="0">
      <alignment horizontal="center" vertical="center" shrinkToFit="1"/>
    </xf>
    <xf numFmtId="0" fontId="53" fillId="0" borderId="9" applyAlignment="1" pivotButton="0" quotePrefix="0" xfId="0">
      <alignment horizontal="center" vertical="center" shrinkToFit="1"/>
    </xf>
    <xf numFmtId="0" fontId="51" fillId="0" borderId="10" applyAlignment="1" pivotButton="0" quotePrefix="0" xfId="0">
      <alignment horizontal="center" vertical="center" shrinkToFit="1"/>
    </xf>
    <xf numFmtId="0" fontId="52" fillId="0" borderId="15" applyAlignment="1" pivotButton="0" quotePrefix="0" xfId="0">
      <alignment horizontal="center" vertical="center" shrinkToFit="1"/>
    </xf>
    <xf numFmtId="0" fontId="53" fillId="0" borderId="11" applyAlignment="1" pivotButton="0" quotePrefix="0" xfId="0">
      <alignment horizontal="center" vertical="center" shrinkToFit="1"/>
    </xf>
    <xf numFmtId="0" fontId="51" fillId="0" borderId="15" applyAlignment="1" pivotButton="0" quotePrefix="0" xfId="0">
      <alignment horizontal="center" vertical="center" shrinkToFit="1"/>
    </xf>
    <xf numFmtId="0" fontId="51" fillId="0" borderId="16" applyAlignment="1" pivotButton="0" quotePrefix="0" xfId="0">
      <alignment horizontal="center" vertical="center" shrinkToFit="1"/>
    </xf>
    <xf numFmtId="0" fontId="53" fillId="0" borderId="16" applyAlignment="1" pivotButton="0" quotePrefix="0" xfId="0">
      <alignment horizontal="center" vertical="center" shrinkToFit="1"/>
    </xf>
    <xf numFmtId="0" fontId="53" fillId="0" borderId="10" applyAlignment="1" pivotButton="0" quotePrefix="0" xfId="0">
      <alignment horizontal="center" vertical="center" shrinkToFit="1"/>
    </xf>
    <xf numFmtId="0" fontId="51" fillId="0" borderId="6" applyAlignment="1" pivotButton="0" quotePrefix="0" xfId="0">
      <alignment horizontal="center" vertical="center" shrinkToFit="1"/>
    </xf>
    <xf numFmtId="0" fontId="52" fillId="0" borderId="17" applyAlignment="1" pivotButton="0" quotePrefix="0" xfId="0">
      <alignment horizontal="center" vertical="center" shrinkToFit="1"/>
    </xf>
    <xf numFmtId="0" fontId="53" fillId="0" borderId="3" applyAlignment="1" pivotButton="0" quotePrefix="0" xfId="0">
      <alignment horizontal="center" vertical="center" shrinkToFit="1"/>
    </xf>
    <xf numFmtId="0" fontId="51" fillId="0" borderId="17" applyAlignment="1" pivotButton="0" quotePrefix="0" xfId="0">
      <alignment horizontal="center" vertical="center" shrinkToFit="1"/>
    </xf>
    <xf numFmtId="0" fontId="51" fillId="0" borderId="18" applyAlignment="1" pivotButton="0" quotePrefix="0" xfId="0">
      <alignment horizontal="center" vertical="center" shrinkToFit="1"/>
    </xf>
    <xf numFmtId="0" fontId="52" fillId="0" borderId="6" applyAlignment="1" pivotButton="0" quotePrefix="0" xfId="0">
      <alignment horizontal="center" vertical="center" shrinkToFit="1"/>
    </xf>
    <xf numFmtId="0" fontId="53" fillId="0" borderId="18" applyAlignment="1" pivotButton="0" quotePrefix="0" xfId="0">
      <alignment horizontal="center" vertical="center" shrinkToFit="1"/>
    </xf>
    <xf numFmtId="0" fontId="53" fillId="0" borderId="17" applyAlignment="1" pivotButton="0" quotePrefix="0" xfId="0">
      <alignment horizontal="center" vertical="center" shrinkToFit="1"/>
    </xf>
    <xf numFmtId="0" fontId="51" fillId="0" borderId="12" applyAlignment="1" pivotButton="0" quotePrefix="0" xfId="0">
      <alignment horizontal="center" vertical="center" wrapText="1" shrinkToFit="1"/>
    </xf>
    <xf numFmtId="0" fontId="51" fillId="0" borderId="7" applyAlignment="1" pivotButton="0" quotePrefix="0" xfId="0">
      <alignment horizontal="center" vertical="center" wrapText="1" shrinkToFit="1"/>
    </xf>
    <xf numFmtId="0" fontId="51" fillId="0" borderId="5" applyAlignment="1" pivotButton="0" quotePrefix="0" xfId="0">
      <alignment horizontal="center" vertical="center" wrapText="1" shrinkToFit="1"/>
    </xf>
    <xf numFmtId="0" fontId="51" fillId="0" borderId="20" applyAlignment="1" pivotButton="0" quotePrefix="0" xfId="0">
      <alignment horizontal="center" vertical="center" wrapText="1" shrinkToFit="1"/>
    </xf>
    <xf numFmtId="0" fontId="51" fillId="0" borderId="8" applyAlignment="1" pivotButton="0" quotePrefix="0" xfId="0">
      <alignment horizontal="center" vertical="center" wrapText="1" shrinkToFit="1"/>
    </xf>
    <xf numFmtId="0" fontId="51" fillId="0" borderId="0" applyAlignment="1" pivotButton="0" quotePrefix="0" xfId="0">
      <alignment horizontal="center" vertical="center" wrapText="1" shrinkToFit="1"/>
    </xf>
    <xf numFmtId="0" fontId="51" fillId="0" borderId="36" applyAlignment="1" pivotButton="0" quotePrefix="0" xfId="0">
      <alignment horizontal="center" vertical="center" wrapText="1" shrinkToFit="1"/>
    </xf>
    <xf numFmtId="0" fontId="46" fillId="0" borderId="7" applyAlignment="1" pivotButton="0" quotePrefix="0" xfId="0">
      <alignment horizontal="center" vertical="center"/>
    </xf>
    <xf numFmtId="0" fontId="46" fillId="0" borderId="5" applyAlignment="1" pivotButton="0" quotePrefix="0" xfId="0">
      <alignment horizontal="center" vertical="center"/>
    </xf>
    <xf numFmtId="0" fontId="46" fillId="0" borderId="5" applyAlignment="1" pivotButton="0" quotePrefix="0" xfId="0">
      <alignment vertical="center"/>
    </xf>
    <xf numFmtId="0" fontId="46" fillId="0" borderId="5" pivotButton="0" quotePrefix="0" xfId="0"/>
    <xf numFmtId="0" fontId="51" fillId="0" borderId="29" applyAlignment="1" pivotButton="0" quotePrefix="0" xfId="0">
      <alignment horizontal="center" vertical="center" wrapText="1" shrinkToFit="1"/>
    </xf>
    <xf numFmtId="0" fontId="46" fillId="0" borderId="3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46" fillId="0" borderId="0" pivotButton="0" quotePrefix="0" xfId="0"/>
    <xf numFmtId="0" fontId="51" fillId="0" borderId="3" applyAlignment="1" pivotButton="0" quotePrefix="0" xfId="0">
      <alignment horizontal="center" vertical="center" wrapText="1" shrinkToFit="1"/>
    </xf>
    <xf numFmtId="0" fontId="51" fillId="0" borderId="6" applyAlignment="1" pivotButton="0" quotePrefix="0" xfId="0">
      <alignment horizontal="center" vertical="center" wrapText="1" shrinkToFit="1"/>
    </xf>
    <xf numFmtId="0" fontId="51" fillId="0" borderId="17" applyAlignment="1" pivotButton="0" quotePrefix="0" xfId="0">
      <alignment horizontal="center" vertical="center" wrapText="1" shrinkToFit="1"/>
    </xf>
    <xf numFmtId="0" fontId="51" fillId="0" borderId="18" applyAlignment="1" pivotButton="0" quotePrefix="0" xfId="0">
      <alignment horizontal="center" vertical="center" wrapText="1" shrinkToFit="1"/>
    </xf>
    <xf numFmtId="0" fontId="46" fillId="0" borderId="8" applyAlignment="1" pivotButton="0" quotePrefix="0" xfId="0">
      <alignment horizontal="center" vertical="center"/>
    </xf>
    <xf numFmtId="164" fontId="54" fillId="0" borderId="5" applyAlignment="1" pivotButton="0" quotePrefix="0" xfId="0">
      <alignment horizontal="right" vertical="center" shrinkToFit="1"/>
    </xf>
    <xf numFmtId="0" fontId="54" fillId="0" borderId="7" applyAlignment="1" pivotButton="0" quotePrefix="0" xfId="0">
      <alignment horizontal="center" vertical="center" shrinkToFit="1"/>
    </xf>
    <xf numFmtId="0" fontId="54" fillId="0" borderId="5" applyAlignment="1" pivotButton="0" quotePrefix="0" xfId="0">
      <alignment horizontal="right" vertical="center" shrinkToFit="1"/>
    </xf>
    <xf numFmtId="0" fontId="54" fillId="0" borderId="20" applyAlignment="1" pivotButton="0" quotePrefix="0" xfId="0">
      <alignment horizontal="right" vertical="center" shrinkToFit="1"/>
    </xf>
    <xf numFmtId="0" fontId="54" fillId="4" borderId="5" applyAlignment="1" pivotButton="0" quotePrefix="0" xfId="0">
      <alignment horizontal="center" vertical="center" shrinkToFit="1"/>
    </xf>
    <xf numFmtId="167" fontId="54" fillId="5" borderId="7" applyAlignment="1" pivotButton="0" quotePrefix="0" xfId="0">
      <alignment horizontal="right" vertical="center" shrinkToFit="1"/>
    </xf>
    <xf numFmtId="167" fontId="54" fillId="5" borderId="20" applyAlignment="1" pivotButton="0" quotePrefix="0" xfId="0">
      <alignment horizontal="right" vertical="center" shrinkToFit="1"/>
    </xf>
    <xf numFmtId="0" fontId="54" fillId="5" borderId="26" applyAlignment="1" pivotButton="0" quotePrefix="0" xfId="0">
      <alignment horizontal="left" vertical="center" shrinkToFit="1"/>
    </xf>
    <xf numFmtId="0" fontId="54" fillId="0" borderId="35" applyAlignment="1" pivotButton="0" quotePrefix="0" xfId="0">
      <alignment horizontal="left" vertical="center" shrinkToFit="1"/>
    </xf>
    <xf numFmtId="0" fontId="46" fillId="0" borderId="8" applyAlignment="1" pivotButton="0" quotePrefix="0" xfId="0">
      <alignment vertical="center"/>
    </xf>
    <xf numFmtId="164" fontId="54" fillId="0" borderId="10" applyAlignment="1" pivotButton="0" quotePrefix="0" xfId="0">
      <alignment horizontal="right" vertical="center" shrinkToFit="1"/>
    </xf>
    <xf numFmtId="0" fontId="54" fillId="0" borderId="21" applyAlignment="1" pivotButton="0" quotePrefix="0" xfId="0">
      <alignment horizontal="center" vertical="center" shrinkToFit="1"/>
    </xf>
    <xf numFmtId="0" fontId="54" fillId="0" borderId="10" applyAlignment="1" pivotButton="0" quotePrefix="0" xfId="0">
      <alignment horizontal="right" vertical="center" shrinkToFit="1"/>
    </xf>
    <xf numFmtId="0" fontId="54" fillId="0" borderId="24" applyAlignment="1" pivotButton="0" quotePrefix="0" xfId="0">
      <alignment horizontal="right" vertical="center" shrinkToFit="1"/>
    </xf>
    <xf numFmtId="0" fontId="54" fillId="4" borderId="24" applyAlignment="1" pivotButton="0" quotePrefix="0" xfId="0">
      <alignment horizontal="center" vertical="center" shrinkToFit="1"/>
    </xf>
    <xf numFmtId="167" fontId="54" fillId="5" borderId="11" applyAlignment="1" pivotButton="0" quotePrefix="0" xfId="0">
      <alignment horizontal="right" vertical="center" shrinkToFit="1"/>
    </xf>
    <xf numFmtId="167" fontId="54" fillId="5" borderId="24" applyAlignment="1" pivotButton="0" quotePrefix="0" xfId="0">
      <alignment horizontal="right" vertical="center" shrinkToFit="1"/>
    </xf>
    <xf numFmtId="0" fontId="54" fillId="5" borderId="21" applyAlignment="1" pivotButton="0" quotePrefix="0" xfId="0">
      <alignment horizontal="left" vertical="center" shrinkToFit="1"/>
    </xf>
    <xf numFmtId="0" fontId="54" fillId="0" borderId="24" applyAlignment="1" pivotButton="0" quotePrefix="0" xfId="0">
      <alignment horizontal="left" vertical="center" shrinkToFit="1"/>
    </xf>
    <xf numFmtId="0" fontId="54" fillId="5" borderId="24" applyAlignment="1" pivotButton="0" quotePrefix="0" xfId="0">
      <alignment horizontal="center" vertical="center" shrinkToFit="1"/>
    </xf>
    <xf numFmtId="0" fontId="54" fillId="5" borderId="11" applyAlignment="1" pivotButton="0" quotePrefix="0" xfId="0">
      <alignment horizontal="right" vertical="center" shrinkToFit="1"/>
    </xf>
    <xf numFmtId="0" fontId="54" fillId="5" borderId="24" applyAlignment="1" pivotButton="0" quotePrefix="0" xfId="0">
      <alignment horizontal="right" vertical="center" shrinkToFit="1"/>
    </xf>
    <xf numFmtId="0" fontId="54" fillId="0" borderId="6" applyAlignment="1" pivotButton="0" quotePrefix="0" xfId="0">
      <alignment horizontal="right" vertical="center" shrinkToFit="1"/>
    </xf>
    <xf numFmtId="0" fontId="54" fillId="0" borderId="3" applyAlignment="1" pivotButton="0" quotePrefix="0" xfId="0">
      <alignment horizontal="center" vertical="center" shrinkToFit="1"/>
    </xf>
    <xf numFmtId="0" fontId="54" fillId="0" borderId="17" applyAlignment="1" pivotButton="0" quotePrefix="0" xfId="0">
      <alignment horizontal="right" vertical="center" shrinkToFit="1"/>
    </xf>
    <xf numFmtId="0" fontId="54" fillId="5" borderId="6" applyAlignment="1" pivotButton="0" quotePrefix="0" xfId="0">
      <alignment horizontal="center" vertical="center" shrinkToFit="1"/>
    </xf>
    <xf numFmtId="0" fontId="54" fillId="5" borderId="3" applyAlignment="1" pivotButton="0" quotePrefix="0" xfId="0">
      <alignment horizontal="right" vertical="center" shrinkToFit="1"/>
    </xf>
    <xf numFmtId="0" fontId="54" fillId="5" borderId="6" applyAlignment="1" pivotButton="0" quotePrefix="0" xfId="0">
      <alignment horizontal="right" vertical="center" shrinkToFit="1"/>
    </xf>
    <xf numFmtId="0" fontId="54" fillId="5" borderId="3" applyAlignment="1" pivotButton="0" quotePrefix="0" xfId="0">
      <alignment horizontal="left" vertical="center" shrinkToFit="1"/>
    </xf>
    <xf numFmtId="0" fontId="54" fillId="0" borderId="17" applyAlignment="1" pivotButton="0" quotePrefix="0" xfId="0">
      <alignment horizontal="left" vertical="center" shrinkToFit="1"/>
    </xf>
    <xf numFmtId="0" fontId="46" fillId="0" borderId="6" applyAlignment="1" pivotButton="0" quotePrefix="0" xfId="0">
      <alignment vertical="center"/>
    </xf>
    <xf numFmtId="0" fontId="55" fillId="0" borderId="5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/>
    </xf>
    <xf numFmtId="0" fontId="46" fillId="0" borderId="4" applyAlignment="1" pivotButton="0" quotePrefix="0" xfId="0">
      <alignment vertical="center"/>
    </xf>
    <xf numFmtId="0" fontId="46" fillId="0" borderId="4" applyAlignment="1" pivotButton="0" quotePrefix="0" xfId="0">
      <alignment horizontal="left" vertical="center"/>
    </xf>
    <xf numFmtId="0" fontId="56" fillId="0" borderId="4" applyAlignment="1" pivotButton="0" quotePrefix="0" xfId="0">
      <alignment horizontal="center" vertical="center"/>
    </xf>
    <xf numFmtId="0" fontId="46" fillId="0" borderId="4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scatterChart>
        <scatterStyle val="lineMarker"/>
        <ser>
          <idx val="0"/>
          <order val="0"/>
          <spPr>
            <a:ln xmlns:a="http://schemas.openxmlformats.org/drawingml/2006/main" w="1905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'ポータブルコーン貫入試験データシート (記入用)'!$S$10:$S$30</f>
            </numRef>
          </xVal>
          <yVal>
            <numRef>
              <f>'ポータブルコーン貫入試験データシート (記入用)'!$T$10:$T$30</f>
            </numRef>
          </yVal>
          <smooth val="0"/>
        </ser>
        <axId val="10"/>
        <axId val="20"/>
      </scatterChart>
      <valAx>
        <axId val="10"/>
        <scaling>
          <orientation val="minMax"/>
          <max val="2000"/>
          <min val="0"/>
        </scaling>
        <axPos val="t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qc  kN/m²</a:t>
                </a:r>
              </a:p>
            </rich>
          </tx>
        </title>
        <majorTickMark val="none"/>
        <minorTickMark val="none"/>
        <crossAx val="20"/>
        <majorUnit val="500"/>
        <minorUnit val="100"/>
      </valAx>
      <valAx>
        <axId val="20"/>
        <scaling>
          <orientation val="maxMin"/>
          <max val="2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深さ  m</a:t>
                </a:r>
              </a:p>
            </rich>
          </tx>
        </title>
        <majorTickMark val="none"/>
        <minorTickMark val="none"/>
        <crossAx val="10"/>
        <majorUnit val="0.1"/>
        <minorUnit val="0.05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6</row>
      <rowOff>0</rowOff>
    </from>
    <ext cx="3528000" cy="6814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T54"/>
  <sheetViews>
    <sheetView showGridLines="0" zoomScale="190" zoomScaleNormal="100" zoomScaleSheetLayoutView="190" workbookViewId="0">
      <selection activeCell="G14" sqref="G14"/>
    </sheetView>
  </sheetViews>
  <sheetFormatPr baseColWidth="8" defaultRowHeight="13.5"/>
  <cols>
    <col width="5.31" customWidth="1" style="167" min="1" max="1"/>
    <col width="1.44" customWidth="1" style="167" min="2" max="2"/>
    <col width="1.44" customWidth="1" style="167" min="3" max="4"/>
    <col width="1.45" customWidth="1" style="167" min="4" max="4"/>
    <col width="3.66" customWidth="1" style="167" min="5" max="5"/>
    <col width="3.66" customWidth="1" style="167" min="6" max="6"/>
    <col width="8.32" customWidth="1" style="167" min="7" max="7"/>
    <col width="4.16" customWidth="1" style="167" min="8" max="8"/>
    <col width="4.16" customWidth="1" style="167" min="9" max="9"/>
    <col width="5.16" customWidth="1" style="167" min="10" max="10"/>
    <col width="5.16" customWidth="1" style="167" min="11" max="11"/>
    <col width="6.79" customWidth="1" style="167" min="12" max="12"/>
    <col width="6.79" customWidth="1" style="167" min="13" max="13"/>
    <col width="6.79" customWidth="1" style="167" min="14" max="14"/>
    <col width="6.79" customWidth="1" style="167" min="15" max="15"/>
    <col width="6.79" customWidth="1" style="167" min="16" max="16"/>
    <col width="6.79" customWidth="1" style="167" min="17" max="17"/>
    <col width="6.79" customWidth="1" style="167" min="18" max="18"/>
    <col hidden="1" width="0.1" customWidth="1" style="167" min="19" max="19"/>
    <col hidden="1" width="0.1" customWidth="1" style="167" min="20" max="20"/>
  </cols>
  <sheetData>
    <row r="1" ht="28.35" customHeight="1" s="167" thickBot="1">
      <c r="A1" s="206" t="inlineStr">
        <is>
          <t>JGS　1431</t>
        </is>
      </c>
      <c r="B1" s="168" t="n"/>
      <c r="C1" s="168" t="n"/>
      <c r="D1" s="168" t="n"/>
      <c r="E1" s="168" t="n"/>
      <c r="F1" s="169" t="n"/>
      <c r="G1" s="209" t="inlineStr">
        <is>
          <t>ポ ー タ ブ ル コ ー ン 貫 入 試 験</t>
        </is>
      </c>
      <c r="H1" s="168" t="n"/>
      <c r="I1" s="168" t="n"/>
      <c r="J1" s="168" t="n"/>
      <c r="K1" s="168" t="n"/>
      <c r="L1" s="168" t="n"/>
      <c r="M1" s="168" t="n"/>
      <c r="N1" s="168" t="n"/>
      <c r="O1" s="168" t="n"/>
      <c r="P1" s="168" t="n"/>
      <c r="Q1" s="169" t="n"/>
      <c r="R1" s="210" t="n"/>
    </row>
    <row r="2" ht="25.51" customHeight="1" s="167">
      <c r="A2" s="211" t="inlineStr">
        <is>
          <t>調査件名</t>
        </is>
      </c>
      <c r="B2" s="171" t="n"/>
      <c r="C2" s="213" t="n"/>
      <c r="D2" s="214" t="n"/>
      <c r="E2" s="215" t="n"/>
      <c r="F2" s="172" t="n"/>
      <c r="G2" s="172" t="n"/>
      <c r="H2" s="172" t="n"/>
      <c r="I2" s="172" t="n"/>
      <c r="J2" s="172" t="n"/>
      <c r="K2" s="172" t="n"/>
      <c r="L2" s="172" t="n"/>
      <c r="M2" s="217" t="n"/>
      <c r="N2" s="217" t="n"/>
      <c r="O2" s="218" t="inlineStr">
        <is>
          <t>試験年月日</t>
        </is>
      </c>
      <c r="Q2" s="220" t="n"/>
      <c r="R2" s="172" t="n"/>
    </row>
    <row r="3" ht="25.51" customHeight="1" s="167">
      <c r="A3" s="221" t="inlineStr">
        <is>
          <t>地点番号</t>
        </is>
      </c>
      <c r="B3" s="174" t="n"/>
      <c r="C3" s="223" t="n"/>
      <c r="D3" s="221" t="inlineStr">
        <is>
          <t>(地盤高)</t>
        </is>
      </c>
      <c r="E3" s="174" t="n"/>
      <c r="F3" s="174" t="n"/>
      <c r="G3" s="224" t="n"/>
      <c r="H3" s="175" t="n"/>
      <c r="I3" s="175" t="n"/>
      <c r="J3" s="175" t="n"/>
      <c r="K3" s="175" t="n"/>
      <c r="L3" s="175" t="n"/>
      <c r="M3" s="217" t="n"/>
      <c r="N3" s="217" t="n"/>
      <c r="O3" s="218" t="inlineStr">
        <is>
          <t>試験者</t>
        </is>
      </c>
      <c r="Q3" s="226" t="n"/>
    </row>
    <row r="4" ht="13.61" customHeight="1" s="167">
      <c r="A4" s="227" t="inlineStr">
        <is>
          <t>試験機の種類</t>
        </is>
      </c>
      <c r="B4" s="176" t="n"/>
      <c r="C4" s="176" t="n"/>
      <c r="D4" s="176" t="n"/>
      <c r="E4" s="228" t="n"/>
      <c r="F4" s="229" t="inlineStr">
        <is>
          <t>単管式、二重管式</t>
        </is>
      </c>
      <c r="G4" s="176" t="n"/>
      <c r="H4" s="178" t="n"/>
      <c r="I4" s="230" t="inlineStr">
        <is>
          <t>荷重計容量</t>
        </is>
      </c>
      <c r="J4" s="176" t="n"/>
      <c r="K4" s="231" t="inlineStr">
        <is>
          <t>N</t>
        </is>
      </c>
      <c r="L4" s="232" t="n">
        <v>437.2</v>
      </c>
      <c r="M4" s="176" t="n"/>
      <c r="N4" s="176" t="n"/>
      <c r="O4" s="176" t="n"/>
      <c r="P4" s="230" t="inlineStr">
        <is>
          <t>較正係数</t>
        </is>
      </c>
      <c r="Q4" s="233" t="inlineStr">
        <is>
          <t>K N/目盛</t>
        </is>
      </c>
      <c r="R4" s="234" t="n">
        <v>4.4</v>
      </c>
    </row>
    <row r="5" ht="13.61" customHeight="1" s="167">
      <c r="A5" s="235" t="inlineStr">
        <is>
          <t>ロッド質量</t>
        </is>
      </c>
      <c r="B5" s="179" t="n"/>
      <c r="C5" s="179" t="n"/>
      <c r="D5" s="179" t="n"/>
      <c r="E5" s="236" t="inlineStr">
        <is>
          <t>m1　kg</t>
        </is>
      </c>
      <c r="F5" s="237" t="n">
        <v>0.78</v>
      </c>
      <c r="G5" s="179" t="n"/>
      <c r="H5" s="181" t="n"/>
      <c r="I5" s="239" t="inlineStr">
        <is>
          <t>先端コーン質量</t>
        </is>
      </c>
      <c r="J5" s="179" t="n"/>
      <c r="K5" s="236" t="inlineStr">
        <is>
          <t>m0　kg</t>
        </is>
      </c>
      <c r="L5" s="240" t="n">
        <v>0.135</v>
      </c>
      <c r="M5" s="179" t="n"/>
      <c r="N5" s="179" t="n"/>
      <c r="O5" s="179" t="n"/>
      <c r="P5" s="239" t="inlineStr">
        <is>
          <t>コーン底面積</t>
        </is>
      </c>
      <c r="Q5" s="236" t="inlineStr">
        <is>
          <t>A　m²</t>
        </is>
      </c>
      <c r="R5" s="241" t="n">
        <v>0.000645</v>
      </c>
    </row>
    <row r="6" ht="13.61" customHeight="1" s="167">
      <c r="A6" s="242" t="inlineStr">
        <is>
          <t>貫入速度</t>
        </is>
      </c>
      <c r="B6" s="174" t="n"/>
      <c r="C6" s="174" t="n"/>
      <c r="D6" s="174" t="n"/>
      <c r="E6" s="243" t="inlineStr">
        <is>
          <t>cm/s</t>
        </is>
      </c>
      <c r="F6" s="244" t="n">
        <v>1</v>
      </c>
      <c r="G6" s="174" t="n"/>
      <c r="H6" s="183" t="n"/>
      <c r="I6" s="246" t="inlineStr">
        <is>
          <t>最終貫入深さ</t>
        </is>
      </c>
      <c r="J6" s="174" t="n"/>
      <c r="K6" s="247" t="inlineStr">
        <is>
          <t>m</t>
        </is>
      </c>
      <c r="L6" s="248">
        <f>IFERROR(LOOKUP(2,1/(E10:E30&lt;&gt;""),A10:A30),"")</f>
        <v/>
      </c>
      <c r="M6" s="174" t="n"/>
      <c r="N6" s="174" t="n"/>
      <c r="O6" s="174" t="n"/>
      <c r="P6" s="246" t="inlineStr">
        <is>
          <t>天候</t>
        </is>
      </c>
      <c r="Q6" s="249" t="n"/>
      <c r="R6" s="242" t="n"/>
    </row>
    <row r="7" ht="12" customHeight="1" s="167">
      <c r="A7" s="250" t="inlineStr">
        <is>
          <t>測定深さ</t>
        </is>
      </c>
      <c r="B7" s="251" t="inlineStr">
        <is>
          <t>ロッド</t>
        </is>
      </c>
      <c r="C7" s="185" t="n"/>
      <c r="D7" s="186" t="n"/>
      <c r="E7" s="254" t="inlineStr">
        <is>
          <t>荷重計</t>
        </is>
      </c>
      <c r="F7" s="188" t="n"/>
      <c r="G7" s="255" t="inlineStr">
        <is>
          <t>貫入力</t>
        </is>
      </c>
      <c r="H7" s="254" t="inlineStr">
        <is>
          <t>コーン貫入抵抗</t>
        </is>
      </c>
      <c r="I7" s="188" t="n"/>
      <c r="J7" s="256" t="inlineStr">
        <is>
          <t>記　　　　事</t>
        </is>
      </c>
      <c r="K7" s="186" t="n"/>
      <c r="L7" s="257" t="inlineStr">
        <is>
          <t>深　　さ</t>
        </is>
      </c>
      <c r="M7" s="258" t="n"/>
      <c r="N7" s="259" t="n"/>
      <c r="O7" s="259" t="n"/>
      <c r="P7" s="258" t="inlineStr">
        <is>
          <t>qc　kN/m²</t>
        </is>
      </c>
      <c r="Q7" s="185" t="n"/>
      <c r="R7" s="259" t="n"/>
    </row>
    <row r="8" ht="8.199999999999999" customHeight="1" s="167">
      <c r="A8" s="188" t="n"/>
      <c r="B8" s="254" t="inlineStr">
        <is>
          <t>本数n</t>
        </is>
      </c>
      <c r="D8" s="188" t="n"/>
      <c r="E8" s="254" t="inlineStr">
        <is>
          <t>読み値 D</t>
        </is>
      </c>
      <c r="F8" s="188" t="n"/>
      <c r="G8" s="255" t="inlineStr">
        <is>
          <t>Qrd=KD</t>
        </is>
      </c>
      <c r="H8" s="254" t="inlineStr">
        <is>
          <t>qc</t>
        </is>
      </c>
      <c r="I8" s="188" t="n"/>
      <c r="J8" s="192" t="n"/>
      <c r="K8" s="188" t="n"/>
      <c r="L8" s="262" t="inlineStr">
        <is>
          <t>m</t>
        </is>
      </c>
      <c r="M8" s="263" t="n"/>
      <c r="N8" s="264" t="n"/>
      <c r="O8" s="264" t="n"/>
      <c r="R8" s="264" t="n"/>
    </row>
    <row r="9" ht="8.15" customHeight="1" s="167">
      <c r="A9" s="250" t="inlineStr">
        <is>
          <t>m</t>
        </is>
      </c>
      <c r="B9" s="266" t="n"/>
      <c r="C9" s="174" t="n"/>
      <c r="D9" s="183" t="n"/>
      <c r="E9" s="254" t="n"/>
      <c r="F9" s="188" t="n"/>
      <c r="G9" s="266" t="inlineStr">
        <is>
          <t>N</t>
        </is>
      </c>
      <c r="H9" s="266" t="inlineStr">
        <is>
          <t>kN/m²</t>
        </is>
      </c>
      <c r="I9" s="183" t="n"/>
      <c r="J9" s="193" t="n"/>
      <c r="K9" s="183" t="n"/>
      <c r="L9" s="270" t="n"/>
      <c r="M9" s="263" t="n"/>
      <c r="N9" s="265" t="n"/>
      <c r="O9" s="265" t="n"/>
      <c r="P9" s="265" t="n"/>
      <c r="Q9" s="265" t="n"/>
      <c r="R9" s="264" t="n"/>
    </row>
    <row r="10" ht="11.82" customHeight="1" s="167">
      <c r="A10" s="271" t="n">
        <v>0</v>
      </c>
      <c r="B10" s="272" t="n">
        <v>1</v>
      </c>
      <c r="C10" s="185" t="n"/>
      <c r="D10" s="186" t="n"/>
      <c r="E10" s="275" t="n"/>
      <c r="F10" s="185" t="n"/>
      <c r="G10" s="276">
        <f>IF(E10="","",$R$4*E10)</f>
        <v/>
      </c>
      <c r="H10" s="277">
        <f>IF(OR(E10="",B10=""),"",((G10/1000)+((($L$5+B10*$F$5)*9.81)/1000))/$R$5)</f>
        <v/>
      </c>
      <c r="I10" s="186" t="n"/>
      <c r="J10" s="278" t="n"/>
      <c r="K10" s="199" t="n"/>
      <c r="L10" s="280" t="n"/>
      <c r="M10" s="265" t="n"/>
      <c r="N10" s="265" t="n"/>
      <c r="O10" s="265" t="n"/>
      <c r="P10" s="265" t="n"/>
      <c r="Q10" s="265" t="n"/>
      <c r="R10" s="264" t="n"/>
      <c r="S10" s="18">
        <f>IF(E10="",NA(),H10)</f>
        <v/>
      </c>
      <c r="T10" s="18">
        <f>IF(E10="",NA(),A10)</f>
        <v/>
      </c>
    </row>
    <row r="11" ht="11.82" customHeight="1" s="167">
      <c r="A11" s="281" t="n">
        <v>0.1</v>
      </c>
      <c r="B11" s="282" t="n">
        <v>1</v>
      </c>
      <c r="C11" s="179" t="n"/>
      <c r="D11" s="201" t="n"/>
      <c r="E11" s="285" t="n"/>
      <c r="F11" s="201" t="n"/>
      <c r="G11" s="286">
        <f>IF(E11="","",$R$4*E11)</f>
        <v/>
      </c>
      <c r="H11" s="287">
        <f>IF(OR(E11="",B11=""),"",((G11/1000)+((($L$5+B11*$F$5)*9.81)/1000))/$R$5)</f>
        <v/>
      </c>
      <c r="I11" s="201" t="n"/>
      <c r="J11" s="288" t="n"/>
      <c r="K11" s="201" t="n"/>
      <c r="L11" s="280" t="n"/>
      <c r="M11" s="265" t="n"/>
      <c r="N11" s="265" t="n"/>
      <c r="O11" s="265" t="n"/>
      <c r="P11" s="265" t="n"/>
      <c r="Q11" s="265" t="n"/>
      <c r="R11" s="264" t="n"/>
      <c r="S11" s="18">
        <f>IF(E11="",NA(),H11)</f>
        <v/>
      </c>
      <c r="T11" s="18">
        <f>IF(E11="",NA(),A11)</f>
        <v/>
      </c>
    </row>
    <row r="12" ht="11.82" customHeight="1" s="167">
      <c r="A12" s="281" t="n">
        <v>0.2</v>
      </c>
      <c r="B12" s="282" t="n">
        <v>1</v>
      </c>
      <c r="C12" s="179" t="n"/>
      <c r="D12" s="201" t="n"/>
      <c r="E12" s="285" t="n"/>
      <c r="F12" s="201" t="n"/>
      <c r="G12" s="286">
        <f>IF(E12="","",$R$4*E12)</f>
        <v/>
      </c>
      <c r="H12" s="287">
        <f>IF(OR(E12="",B12=""),"",((G12/1000)+((($L$5+B12*$F$5)*9.81)/1000))/$R$5)</f>
        <v/>
      </c>
      <c r="I12" s="201" t="n"/>
      <c r="J12" s="288" t="n"/>
      <c r="K12" s="201" t="n"/>
      <c r="L12" s="265" t="n"/>
      <c r="M12" s="265" t="n"/>
      <c r="N12" s="265" t="n"/>
      <c r="O12" s="265" t="n"/>
      <c r="P12" s="265" t="n"/>
      <c r="Q12" s="265" t="n"/>
      <c r="R12" s="264" t="n"/>
      <c r="S12" s="18">
        <f>IF(E12="",NA(),H12)</f>
        <v/>
      </c>
      <c r="T12" s="18">
        <f>IF(E12="",NA(),A12)</f>
        <v/>
      </c>
    </row>
    <row r="13" ht="11.82" customHeight="1" s="167">
      <c r="A13" s="281" t="n">
        <v>0.3</v>
      </c>
      <c r="B13" s="282" t="n">
        <v>1</v>
      </c>
      <c r="C13" s="179" t="n"/>
      <c r="D13" s="201" t="n"/>
      <c r="E13" s="285" t="n"/>
      <c r="F13" s="201" t="n"/>
      <c r="G13" s="286">
        <f>IF(E13="","",$R$4*E13)</f>
        <v/>
      </c>
      <c r="H13" s="287">
        <f>IF(OR(E13="",B13=""),"",((G13/1000)+((($L$5+B13*$F$5)*9.81)/1000))/$R$5)</f>
        <v/>
      </c>
      <c r="I13" s="201" t="n"/>
      <c r="J13" s="288" t="n"/>
      <c r="K13" s="201" t="n"/>
      <c r="L13" s="265" t="n"/>
      <c r="M13" s="265" t="n"/>
      <c r="N13" s="265" t="n"/>
      <c r="O13" s="265" t="n"/>
      <c r="P13" s="265" t="n"/>
      <c r="Q13" s="265" t="n"/>
      <c r="R13" s="264" t="n"/>
      <c r="S13" s="18">
        <f>IF(E13="",NA(),H13)</f>
        <v/>
      </c>
      <c r="T13" s="18">
        <f>IF(E13="",NA(),A13)</f>
        <v/>
      </c>
    </row>
    <row r="14" ht="11.82" customHeight="1" s="167">
      <c r="A14" s="281" t="n">
        <v>0.4</v>
      </c>
      <c r="B14" s="282" t="n">
        <v>1</v>
      </c>
      <c r="C14" s="179" t="n"/>
      <c r="D14" s="201" t="n"/>
      <c r="E14" s="285" t="n"/>
      <c r="F14" s="201" t="n"/>
      <c r="G14" s="286">
        <f>IF(E14="","",$R$4*E14)</f>
        <v/>
      </c>
      <c r="H14" s="287">
        <f>IF(OR(E14="",B14=""),"",((G14/1000)+((($L$5+B14*$F$5)*9.81)/1000))/$R$5)</f>
        <v/>
      </c>
      <c r="I14" s="201" t="n"/>
      <c r="J14" s="288" t="n"/>
      <c r="K14" s="201" t="n"/>
      <c r="L14" s="265" t="n"/>
      <c r="M14" s="265" t="n"/>
      <c r="N14" s="265" t="n"/>
      <c r="O14" s="265" t="n"/>
      <c r="P14" s="265" t="n"/>
      <c r="Q14" s="265" t="n"/>
      <c r="R14" s="264" t="n"/>
      <c r="S14" s="18">
        <f>IF(E14="",NA(),H14)</f>
        <v/>
      </c>
      <c r="T14" s="18">
        <f>IF(E14="",NA(),A14)</f>
        <v/>
      </c>
    </row>
    <row r="15" ht="11.82" customHeight="1" s="167">
      <c r="A15" s="281" t="n">
        <v>0.5</v>
      </c>
      <c r="B15" s="282" t="n">
        <v>1</v>
      </c>
      <c r="C15" s="179" t="n"/>
      <c r="D15" s="201" t="n"/>
      <c r="E15" s="285" t="n"/>
      <c r="F15" s="201" t="n"/>
      <c r="G15" s="286">
        <f>IF(E15="","",$R$4*E15)</f>
        <v/>
      </c>
      <c r="H15" s="287">
        <f>IF(OR(E15="",B15=""),"",((G15/1000)+((($L$5+B15*$F$5)*9.81)/1000))/$R$5)</f>
        <v/>
      </c>
      <c r="I15" s="201" t="n"/>
      <c r="J15" s="288" t="n"/>
      <c r="K15" s="201" t="n"/>
      <c r="L15" s="265" t="n"/>
      <c r="M15" s="265" t="n"/>
      <c r="N15" s="265" t="n"/>
      <c r="O15" s="265" t="n"/>
      <c r="P15" s="265" t="n"/>
      <c r="Q15" s="265" t="n"/>
      <c r="R15" s="264" t="n"/>
      <c r="S15" s="18">
        <f>IF(E15="",NA(),H15)</f>
        <v/>
      </c>
      <c r="T15" s="18">
        <f>IF(E15="",NA(),A15)</f>
        <v/>
      </c>
    </row>
    <row r="16" ht="11.82" customHeight="1" s="167">
      <c r="A16" s="281" t="n">
        <v>0.6</v>
      </c>
      <c r="B16" s="282" t="n">
        <v>1</v>
      </c>
      <c r="C16" s="179" t="n"/>
      <c r="D16" s="201" t="n"/>
      <c r="E16" s="285" t="n"/>
      <c r="F16" s="201" t="n"/>
      <c r="G16" s="286">
        <f>IF(E16="","",$R$4*E16)</f>
        <v/>
      </c>
      <c r="H16" s="287">
        <f>IF(OR(E16="",B16=""),"",((G16/1000)+((($L$5+B16*$F$5)*9.81)/1000))/$R$5)</f>
        <v/>
      </c>
      <c r="I16" s="201" t="n"/>
      <c r="J16" s="288" t="n"/>
      <c r="K16" s="201" t="n"/>
      <c r="L16" s="265" t="n"/>
      <c r="M16" s="265" t="n"/>
      <c r="N16" s="265" t="n"/>
      <c r="O16" s="265" t="n"/>
      <c r="P16" s="265" t="n"/>
      <c r="Q16" s="265" t="n"/>
      <c r="R16" s="264" t="n"/>
      <c r="S16" s="18">
        <f>IF(E16="",NA(),H16)</f>
        <v/>
      </c>
      <c r="T16" s="18">
        <f>IF(E16="",NA(),A16)</f>
        <v/>
      </c>
    </row>
    <row r="17" ht="11.82" customHeight="1" s="167">
      <c r="A17" s="281" t="n">
        <v>0.7</v>
      </c>
      <c r="B17" s="282" t="n">
        <v>1</v>
      </c>
      <c r="C17" s="179" t="n"/>
      <c r="D17" s="201" t="n"/>
      <c r="E17" s="285" t="n"/>
      <c r="F17" s="201" t="n"/>
      <c r="G17" s="286">
        <f>IF(E17="","",$R$4*E17)</f>
        <v/>
      </c>
      <c r="H17" s="287">
        <f>IF(OR(E17="",B17=""),"",((G17/1000)+((($L$5+B17*$F$5)*9.81)/1000))/$R$5)</f>
        <v/>
      </c>
      <c r="I17" s="201" t="n"/>
      <c r="J17" s="288" t="n"/>
      <c r="K17" s="201" t="n"/>
      <c r="L17" s="265" t="n"/>
      <c r="M17" s="265" t="n"/>
      <c r="N17" s="265" t="n"/>
      <c r="O17" s="265" t="n"/>
      <c r="P17" s="265" t="n"/>
      <c r="Q17" s="265" t="n"/>
      <c r="R17" s="265" t="n"/>
      <c r="S17" s="18">
        <f>IF(E17="",NA(),H17)</f>
        <v/>
      </c>
      <c r="T17" s="18">
        <f>IF(E17="",NA(),A17)</f>
        <v/>
      </c>
    </row>
    <row r="18" ht="11.82" customHeight="1" s="167">
      <c r="A18" s="281" t="n">
        <v>0.8</v>
      </c>
      <c r="B18" s="282" t="n">
        <v>1</v>
      </c>
      <c r="C18" s="179" t="n"/>
      <c r="D18" s="201" t="n"/>
      <c r="E18" s="285" t="n"/>
      <c r="F18" s="201" t="n"/>
      <c r="G18" s="286">
        <f>IF(E18="","",$R$4*E18)</f>
        <v/>
      </c>
      <c r="H18" s="287">
        <f>IF(OR(E18="",B18=""),"",((G18/1000)+((($L$5+B18*$F$5)*9.81)/1000))/$R$5)</f>
        <v/>
      </c>
      <c r="I18" s="201" t="n"/>
      <c r="J18" s="288" t="n"/>
      <c r="K18" s="201" t="n"/>
      <c r="L18" s="265" t="n"/>
      <c r="M18" s="265" t="n"/>
      <c r="N18" s="265" t="n"/>
      <c r="O18" s="265" t="n"/>
      <c r="P18" s="265" t="n"/>
      <c r="Q18" s="265" t="n"/>
      <c r="R18" s="265" t="n"/>
      <c r="S18" s="18">
        <f>IF(E18="",NA(),H18)</f>
        <v/>
      </c>
      <c r="T18" s="18">
        <f>IF(E18="",NA(),A18)</f>
        <v/>
      </c>
    </row>
    <row r="19" ht="11.82" customHeight="1" s="167">
      <c r="A19" s="281" t="n">
        <v>0.9</v>
      </c>
      <c r="B19" s="282" t="n">
        <v>1</v>
      </c>
      <c r="C19" s="179" t="n"/>
      <c r="D19" s="201" t="n"/>
      <c r="E19" s="285" t="n"/>
      <c r="F19" s="201" t="n"/>
      <c r="G19" s="286">
        <f>IF(E19="","",$R$4*E19)</f>
        <v/>
      </c>
      <c r="H19" s="287">
        <f>IF(OR(E19="",B19=""),"",((G19/1000)+((($L$5+B19*$F$5)*9.81)/1000))/$R$5)</f>
        <v/>
      </c>
      <c r="I19" s="201" t="n"/>
      <c r="J19" s="288" t="n"/>
      <c r="K19" s="201" t="n"/>
      <c r="L19" s="265" t="n"/>
      <c r="M19" s="265" t="n"/>
      <c r="N19" s="265" t="n"/>
      <c r="O19" s="265" t="n"/>
      <c r="P19" s="265" t="n"/>
      <c r="Q19" s="265" t="n"/>
      <c r="R19" s="265" t="n"/>
      <c r="S19" s="18">
        <f>IF(E19="",NA(),H19)</f>
        <v/>
      </c>
      <c r="T19" s="18">
        <f>IF(E19="",NA(),A19)</f>
        <v/>
      </c>
    </row>
    <row r="20" ht="11.82" customHeight="1" s="167">
      <c r="A20" s="281" t="n">
        <v>1</v>
      </c>
      <c r="B20" s="282" t="n">
        <v>1</v>
      </c>
      <c r="C20" s="179" t="n"/>
      <c r="D20" s="201" t="n"/>
      <c r="E20" s="285" t="n"/>
      <c r="F20" s="201" t="n"/>
      <c r="G20" s="286">
        <f>IF(E20="","",$R$4*E20)</f>
        <v/>
      </c>
      <c r="H20" s="287">
        <f>IF(OR(E20="",B20=""),"",((G20/1000)+((($L$5+B20*$F$5)*9.81)/1000))/$R$5)</f>
        <v/>
      </c>
      <c r="I20" s="201" t="n"/>
      <c r="J20" s="288" t="n"/>
      <c r="K20" s="201" t="n"/>
      <c r="L20" s="265" t="n"/>
      <c r="M20" s="265" t="n"/>
      <c r="N20" s="265" t="n"/>
      <c r="O20" s="265" t="n"/>
      <c r="P20" s="265" t="n"/>
      <c r="Q20" s="265" t="n"/>
      <c r="R20" s="265" t="n"/>
      <c r="S20" s="18">
        <f>IF(E20="",NA(),H20)</f>
        <v/>
      </c>
      <c r="T20" s="18">
        <f>IF(E20="",NA(),A20)</f>
        <v/>
      </c>
    </row>
    <row r="21" ht="11.82" customHeight="1" s="167">
      <c r="A21" s="281" t="n">
        <v>1.1</v>
      </c>
      <c r="B21" s="282" t="n">
        <v>1</v>
      </c>
      <c r="C21" s="179" t="n"/>
      <c r="D21" s="201" t="n"/>
      <c r="E21" s="285" t="n"/>
      <c r="F21" s="201" t="n"/>
      <c r="G21" s="286">
        <f>IF(E21="","",$R$4*E21)</f>
        <v/>
      </c>
      <c r="H21" s="287">
        <f>IF(OR(E21="",B21=""),"",((G21/1000)+((($L$5+B21*$F$5)*9.81)/1000))/$R$5)</f>
        <v/>
      </c>
      <c r="I21" s="201" t="n"/>
      <c r="J21" s="288" t="n"/>
      <c r="K21" s="201" t="n"/>
      <c r="L21" s="265" t="n"/>
      <c r="M21" s="265" t="n"/>
      <c r="N21" s="265" t="n"/>
      <c r="O21" s="265" t="n"/>
      <c r="P21" s="265" t="n"/>
      <c r="Q21" s="265" t="n"/>
      <c r="R21" s="265" t="n"/>
      <c r="S21" s="18">
        <f>IF(E21="",NA(),H21)</f>
        <v/>
      </c>
      <c r="T21" s="18">
        <f>IF(E21="",NA(),A21)</f>
        <v/>
      </c>
    </row>
    <row r="22" ht="11.82" customHeight="1" s="167">
      <c r="A22" s="281" t="n">
        <v>1.2</v>
      </c>
      <c r="B22" s="282" t="n">
        <v>1</v>
      </c>
      <c r="C22" s="179" t="n"/>
      <c r="D22" s="201" t="n"/>
      <c r="E22" s="285" t="n"/>
      <c r="F22" s="201" t="n"/>
      <c r="G22" s="286">
        <f>IF(E22="","",$R$4*E22)</f>
        <v/>
      </c>
      <c r="H22" s="287">
        <f>IF(OR(E22="",B22=""),"",((G22/1000)+((($L$5+B22*$F$5)*9.81)/1000))/$R$5)</f>
        <v/>
      </c>
      <c r="I22" s="201" t="n"/>
      <c r="J22" s="288" t="n"/>
      <c r="K22" s="201" t="n"/>
      <c r="L22" s="265" t="n"/>
      <c r="M22" s="265" t="n"/>
      <c r="N22" s="265" t="n"/>
      <c r="O22" s="265" t="n"/>
      <c r="P22" s="265" t="n"/>
      <c r="Q22" s="265" t="n"/>
      <c r="R22" s="265" t="n"/>
      <c r="S22" s="18">
        <f>IF(E22="",NA(),H22)</f>
        <v/>
      </c>
      <c r="T22" s="18">
        <f>IF(E22="",NA(),A22)</f>
        <v/>
      </c>
    </row>
    <row r="23" ht="11.82" customHeight="1" s="167">
      <c r="A23" s="281" t="n">
        <v>1.3</v>
      </c>
      <c r="B23" s="282" t="n">
        <v>1</v>
      </c>
      <c r="C23" s="179" t="n"/>
      <c r="D23" s="201" t="n"/>
      <c r="E23" s="285" t="n"/>
      <c r="F23" s="201" t="n"/>
      <c r="G23" s="286">
        <f>IF(E23="","",$R$4*E23)</f>
        <v/>
      </c>
      <c r="H23" s="287">
        <f>IF(OR(E23="",B23=""),"",((G23/1000)+((($L$5+B23*$F$5)*9.81)/1000))/$R$5)</f>
        <v/>
      </c>
      <c r="I23" s="201" t="n"/>
      <c r="J23" s="288" t="n"/>
      <c r="K23" s="201" t="n"/>
      <c r="L23" s="265" t="n"/>
      <c r="M23" s="265" t="n"/>
      <c r="N23" s="265" t="n"/>
      <c r="O23" s="265" t="n"/>
      <c r="P23" s="265" t="n"/>
      <c r="Q23" s="265" t="n"/>
      <c r="R23" s="265" t="n"/>
      <c r="S23" s="18">
        <f>IF(E23="",NA(),H23)</f>
        <v/>
      </c>
      <c r="T23" s="18">
        <f>IF(E23="",NA(),A23)</f>
        <v/>
      </c>
    </row>
    <row r="24" ht="11.82" customHeight="1" s="167">
      <c r="A24" s="281" t="n">
        <v>1.4</v>
      </c>
      <c r="B24" s="282" t="n">
        <v>1</v>
      </c>
      <c r="C24" s="179" t="n"/>
      <c r="D24" s="201" t="n"/>
      <c r="E24" s="285" t="n"/>
      <c r="F24" s="201" t="n"/>
      <c r="G24" s="286">
        <f>IF(E24="","",$R$4*E24)</f>
        <v/>
      </c>
      <c r="H24" s="287">
        <f>IF(OR(E24="",B24=""),"",((G24/1000)+((($L$5+B24*$F$5)*9.81)/1000))/$R$5)</f>
        <v/>
      </c>
      <c r="I24" s="201" t="n"/>
      <c r="J24" s="288" t="n"/>
      <c r="K24" s="201" t="n"/>
      <c r="L24" s="265" t="n"/>
      <c r="M24" s="265" t="n"/>
      <c r="N24" s="265" t="n"/>
      <c r="O24" s="265" t="n"/>
      <c r="P24" s="265" t="n"/>
      <c r="Q24" s="265" t="n"/>
      <c r="R24" s="265" t="n"/>
      <c r="S24" s="18">
        <f>IF(E24="",NA(),H24)</f>
        <v/>
      </c>
      <c r="T24" s="18">
        <f>IF(E24="",NA(),A24)</f>
        <v/>
      </c>
    </row>
    <row r="25" ht="11.82" customHeight="1" s="167">
      <c r="A25" s="281" t="n">
        <v>1.5</v>
      </c>
      <c r="B25" s="282" t="n">
        <v>1</v>
      </c>
      <c r="C25" s="179" t="n"/>
      <c r="D25" s="201" t="n"/>
      <c r="E25" s="285" t="n"/>
      <c r="F25" s="201" t="n"/>
      <c r="G25" s="286">
        <f>IF(E25="","",$R$4*E25)</f>
        <v/>
      </c>
      <c r="H25" s="287">
        <f>IF(OR(E25="",B25=""),"",((G25/1000)+((($L$5+B25*$F$5)*9.81)/1000))/$R$5)</f>
        <v/>
      </c>
      <c r="I25" s="201" t="n"/>
      <c r="J25" s="288" t="n"/>
      <c r="K25" s="201" t="n"/>
      <c r="L25" s="265" t="n"/>
      <c r="M25" s="265" t="n"/>
      <c r="N25" s="265" t="n"/>
      <c r="O25" s="265" t="n"/>
      <c r="P25" s="265" t="n"/>
      <c r="Q25" s="265" t="n"/>
      <c r="R25" s="265" t="n"/>
      <c r="S25" s="18">
        <f>IF(E25="",NA(),H25)</f>
        <v/>
      </c>
      <c r="T25" s="18">
        <f>IF(E25="",NA(),A25)</f>
        <v/>
      </c>
    </row>
    <row r="26" ht="11.82" customHeight="1" s="167">
      <c r="A26" s="281" t="n">
        <v>1.6</v>
      </c>
      <c r="B26" s="282" t="n">
        <v>1</v>
      </c>
      <c r="C26" s="179" t="n"/>
      <c r="D26" s="201" t="n"/>
      <c r="E26" s="285" t="n"/>
      <c r="F26" s="201" t="n"/>
      <c r="G26" s="286">
        <f>IF(E26="","",$R$4*E26)</f>
        <v/>
      </c>
      <c r="H26" s="287">
        <f>IF(OR(E26="",B26=""),"",((G26/1000)+((($L$5+B26*$F$5)*9.81)/1000))/$R$5)</f>
        <v/>
      </c>
      <c r="I26" s="201" t="n"/>
      <c r="J26" s="288" t="n"/>
      <c r="K26" s="201" t="n"/>
      <c r="L26" s="265" t="n"/>
      <c r="M26" s="265" t="n"/>
      <c r="N26" s="265" t="n"/>
      <c r="O26" s="265" t="n"/>
      <c r="P26" s="265" t="n"/>
      <c r="Q26" s="265" t="n"/>
      <c r="R26" s="265" t="n"/>
      <c r="S26" s="18">
        <f>IF(E26="",NA(),H26)</f>
        <v/>
      </c>
      <c r="T26" s="18">
        <f>IF(E26="",NA(),A26)</f>
        <v/>
      </c>
    </row>
    <row r="27" ht="11.82" customHeight="1" s="167">
      <c r="A27" s="281" t="n">
        <v>1.7</v>
      </c>
      <c r="B27" s="282" t="n">
        <v>1</v>
      </c>
      <c r="C27" s="179" t="n"/>
      <c r="D27" s="201" t="n"/>
      <c r="E27" s="285" t="n"/>
      <c r="F27" s="201" t="n"/>
      <c r="G27" s="286">
        <f>IF(E27="","",$R$4*E27)</f>
        <v/>
      </c>
      <c r="H27" s="287">
        <f>IF(OR(E27="",B27=""),"",((G27/1000)+((($L$5+B27*$F$5)*9.81)/1000))/$R$5)</f>
        <v/>
      </c>
      <c r="I27" s="201" t="n"/>
      <c r="J27" s="288" t="n"/>
      <c r="K27" s="201" t="n"/>
      <c r="L27" s="265" t="n"/>
      <c r="M27" s="265" t="n"/>
      <c r="N27" s="265" t="n"/>
      <c r="O27" s="265" t="n"/>
      <c r="P27" s="265" t="n"/>
      <c r="Q27" s="265" t="n"/>
      <c r="R27" s="265" t="n"/>
      <c r="S27" s="18">
        <f>IF(E27="",NA(),H27)</f>
        <v/>
      </c>
      <c r="T27" s="18">
        <f>IF(E27="",NA(),A27)</f>
        <v/>
      </c>
    </row>
    <row r="28" ht="11.82" customHeight="1" s="167">
      <c r="A28" s="281" t="n">
        <v>1.8</v>
      </c>
      <c r="B28" s="282" t="n">
        <v>1</v>
      </c>
      <c r="C28" s="179" t="n"/>
      <c r="D28" s="201" t="n"/>
      <c r="E28" s="285" t="n"/>
      <c r="F28" s="201" t="n"/>
      <c r="G28" s="286">
        <f>IF(E28="","",$R$4*E28)</f>
        <v/>
      </c>
      <c r="H28" s="287">
        <f>IF(OR(E28="",B28=""),"",((G28/1000)+((($L$5+B28*$F$5)*9.81)/1000))/$R$5)</f>
        <v/>
      </c>
      <c r="I28" s="201" t="n"/>
      <c r="J28" s="288" t="n"/>
      <c r="K28" s="201" t="n"/>
      <c r="L28" s="265" t="n"/>
      <c r="M28" s="265" t="n"/>
      <c r="N28" s="265" t="n"/>
      <c r="O28" s="265" t="n"/>
      <c r="P28" s="265" t="n"/>
      <c r="Q28" s="265" t="n"/>
      <c r="R28" s="265" t="n"/>
      <c r="S28" s="18">
        <f>IF(E28="",NA(),H28)</f>
        <v/>
      </c>
      <c r="T28" s="18">
        <f>IF(E28="",NA(),A28)</f>
        <v/>
      </c>
    </row>
    <row r="29" ht="11.82" customHeight="1" s="167">
      <c r="A29" s="281" t="n">
        <v>1.9</v>
      </c>
      <c r="B29" s="282" t="n">
        <v>1</v>
      </c>
      <c r="C29" s="179" t="n"/>
      <c r="D29" s="201" t="n"/>
      <c r="E29" s="285" t="n"/>
      <c r="F29" s="201" t="n"/>
      <c r="G29" s="286">
        <f>IF(E29="","",$R$4*E29)</f>
        <v/>
      </c>
      <c r="H29" s="287">
        <f>IF(OR(E29="",B29=""),"",((G29/1000)+((($L$5+B29*$F$5)*9.81)/1000))/$R$5)</f>
        <v/>
      </c>
      <c r="I29" s="201" t="n"/>
      <c r="J29" s="288" t="n"/>
      <c r="K29" s="201" t="n"/>
      <c r="L29" s="265" t="n"/>
      <c r="M29" s="265" t="n"/>
      <c r="N29" s="265" t="n"/>
      <c r="O29" s="265" t="n"/>
      <c r="P29" s="265" t="n"/>
      <c r="Q29" s="265" t="n"/>
      <c r="R29" s="265" t="n"/>
      <c r="S29" s="18">
        <f>IF(E29="",NA(),H29)</f>
        <v/>
      </c>
      <c r="T29" s="18">
        <f>IF(E29="",NA(),A29)</f>
        <v/>
      </c>
    </row>
    <row r="30" ht="11.82" customHeight="1" s="167">
      <c r="A30" s="281" t="n">
        <v>2</v>
      </c>
      <c r="B30" s="282" t="n">
        <v>1</v>
      </c>
      <c r="C30" s="179" t="n"/>
      <c r="D30" s="201" t="n"/>
      <c r="E30" s="285" t="n"/>
      <c r="F30" s="201" t="n"/>
      <c r="G30" s="286">
        <f>IF(E30="","",$R$4*E30)</f>
        <v/>
      </c>
      <c r="H30" s="287">
        <f>IF(OR(E30="",B30=""),"",((G30/1000)+((($L$5+B30*$F$5)*9.81)/1000))/$R$5)</f>
        <v/>
      </c>
      <c r="I30" s="201" t="n"/>
      <c r="J30" s="288" t="n"/>
      <c r="K30" s="201" t="n"/>
      <c r="L30" s="265" t="n"/>
      <c r="M30" s="265" t="n"/>
      <c r="N30" s="265" t="n"/>
      <c r="O30" s="265" t="n"/>
      <c r="P30" s="265" t="n"/>
      <c r="Q30" s="265" t="n"/>
      <c r="R30" s="265" t="n"/>
      <c r="S30" s="18">
        <f>IF(E30="",NA(),H30)</f>
        <v/>
      </c>
      <c r="T30" s="18">
        <f>IF(E30="",NA(),A30)</f>
        <v/>
      </c>
    </row>
    <row r="31" ht="11.82" customHeight="1" s="167">
      <c r="A31" s="283" t="n"/>
      <c r="B31" s="282" t="n"/>
      <c r="C31" s="179" t="n"/>
      <c r="D31" s="201" t="n"/>
      <c r="E31" s="290" t="n"/>
      <c r="F31" s="201" t="n"/>
      <c r="G31" s="291" t="n"/>
      <c r="H31" s="292" t="n"/>
      <c r="I31" s="201" t="n"/>
      <c r="J31" s="288" t="n"/>
      <c r="K31" s="201" t="n"/>
      <c r="L31" s="265" t="n"/>
      <c r="M31" s="265" t="n"/>
      <c r="N31" s="265" t="n"/>
      <c r="O31" s="265" t="n"/>
      <c r="P31" s="265" t="n"/>
      <c r="Q31" s="265" t="n"/>
      <c r="R31" s="265" t="n"/>
    </row>
    <row r="32" ht="11.82" customHeight="1" s="167">
      <c r="A32" s="283" t="n"/>
      <c r="B32" s="282" t="n"/>
      <c r="C32" s="179" t="n"/>
      <c r="D32" s="201" t="n"/>
      <c r="E32" s="290" t="n"/>
      <c r="F32" s="201" t="n"/>
      <c r="G32" s="291" t="n"/>
      <c r="H32" s="292" t="n"/>
      <c r="I32" s="201" t="n"/>
      <c r="J32" s="288" t="n"/>
      <c r="K32" s="201" t="n"/>
      <c r="L32" s="265" t="n"/>
      <c r="M32" s="265" t="n"/>
      <c r="N32" s="265" t="n"/>
      <c r="O32" s="265" t="n"/>
      <c r="P32" s="265" t="n"/>
      <c r="Q32" s="265" t="n"/>
      <c r="R32" s="265" t="n"/>
    </row>
    <row r="33" ht="11.82" customHeight="1" s="167">
      <c r="A33" s="283" t="n"/>
      <c r="B33" s="282" t="n"/>
      <c r="C33" s="179" t="n"/>
      <c r="D33" s="201" t="n"/>
      <c r="E33" s="290" t="n"/>
      <c r="F33" s="201" t="n"/>
      <c r="G33" s="291" t="n"/>
      <c r="H33" s="292" t="n"/>
      <c r="I33" s="201" t="n"/>
      <c r="J33" s="288" t="n"/>
      <c r="K33" s="201" t="n"/>
      <c r="L33" s="265" t="n"/>
      <c r="M33" s="265" t="n"/>
      <c r="N33" s="265" t="n"/>
      <c r="O33" s="265" t="n"/>
      <c r="P33" s="265" t="n"/>
      <c r="Q33" s="265" t="n"/>
      <c r="R33" s="265" t="n"/>
    </row>
    <row r="34" ht="11.82" customHeight="1" s="167">
      <c r="A34" s="283" t="n"/>
      <c r="B34" s="282" t="n"/>
      <c r="C34" s="179" t="n"/>
      <c r="D34" s="201" t="n"/>
      <c r="E34" s="290" t="n"/>
      <c r="F34" s="201" t="n"/>
      <c r="G34" s="291" t="n"/>
      <c r="H34" s="292" t="n"/>
      <c r="I34" s="201" t="n"/>
      <c r="J34" s="288" t="n"/>
      <c r="K34" s="201" t="n"/>
      <c r="L34" s="265" t="n"/>
      <c r="M34" s="265" t="n"/>
      <c r="N34" s="265" t="n"/>
      <c r="O34" s="265" t="n"/>
      <c r="P34" s="265" t="n"/>
      <c r="Q34" s="265" t="n"/>
      <c r="R34" s="265" t="n"/>
    </row>
    <row r="35" ht="11.82" customHeight="1" s="167">
      <c r="A35" s="283" t="n"/>
      <c r="B35" s="282" t="n"/>
      <c r="C35" s="179" t="n"/>
      <c r="D35" s="201" t="n"/>
      <c r="E35" s="290" t="n"/>
      <c r="F35" s="201" t="n"/>
      <c r="G35" s="291" t="n"/>
      <c r="H35" s="292" t="n"/>
      <c r="I35" s="201" t="n"/>
      <c r="J35" s="288" t="n"/>
      <c r="K35" s="201" t="n"/>
      <c r="L35" s="265" t="n"/>
      <c r="M35" s="265" t="n"/>
      <c r="N35" s="265" t="n"/>
      <c r="O35" s="265" t="n"/>
      <c r="P35" s="265" t="n"/>
      <c r="Q35" s="265" t="n"/>
      <c r="R35" s="265" t="n"/>
    </row>
    <row r="36" ht="11.82" customHeight="1" s="167">
      <c r="A36" s="283" t="n"/>
      <c r="B36" s="282" t="n"/>
      <c r="C36" s="179" t="n"/>
      <c r="D36" s="201" t="n"/>
      <c r="E36" s="290" t="n"/>
      <c r="F36" s="201" t="n"/>
      <c r="G36" s="291" t="n"/>
      <c r="H36" s="292" t="n"/>
      <c r="I36" s="201" t="n"/>
      <c r="J36" s="288" t="n"/>
      <c r="K36" s="201" t="n"/>
      <c r="L36" s="265" t="n"/>
      <c r="M36" s="265" t="n"/>
      <c r="N36" s="265" t="n"/>
      <c r="O36" s="265" t="n"/>
      <c r="P36" s="265" t="n"/>
      <c r="Q36" s="265" t="n"/>
      <c r="R36" s="265" t="n"/>
    </row>
    <row r="37" ht="11.82" customHeight="1" s="167">
      <c r="A37" s="283" t="n"/>
      <c r="B37" s="282" t="n"/>
      <c r="C37" s="179" t="n"/>
      <c r="D37" s="201" t="n"/>
      <c r="E37" s="290" t="n"/>
      <c r="F37" s="201" t="n"/>
      <c r="G37" s="291" t="n"/>
      <c r="H37" s="292" t="n"/>
      <c r="I37" s="201" t="n"/>
      <c r="J37" s="288" t="n"/>
      <c r="K37" s="201" t="n"/>
      <c r="L37" s="265" t="n"/>
      <c r="M37" s="265" t="n"/>
      <c r="N37" s="265" t="n"/>
      <c r="O37" s="265" t="n"/>
      <c r="P37" s="265" t="n"/>
      <c r="Q37" s="265" t="n"/>
      <c r="R37" s="265" t="n"/>
    </row>
    <row r="38" ht="11.82" customHeight="1" s="167">
      <c r="A38" s="283" t="n"/>
      <c r="B38" s="282" t="n"/>
      <c r="C38" s="179" t="n"/>
      <c r="D38" s="201" t="n"/>
      <c r="E38" s="290" t="n"/>
      <c r="F38" s="201" t="n"/>
      <c r="G38" s="291" t="n"/>
      <c r="H38" s="292" t="n"/>
      <c r="I38" s="201" t="n"/>
      <c r="J38" s="288" t="n"/>
      <c r="K38" s="201" t="n"/>
      <c r="L38" s="265" t="n"/>
      <c r="M38" s="265" t="n"/>
      <c r="N38" s="265" t="n"/>
      <c r="O38" s="265" t="n"/>
      <c r="P38" s="265" t="n"/>
      <c r="Q38" s="265" t="n"/>
      <c r="R38" s="265" t="n"/>
    </row>
    <row r="39" ht="11.82" customHeight="1" s="167">
      <c r="A39" s="283" t="n"/>
      <c r="B39" s="282" t="n"/>
      <c r="C39" s="179" t="n"/>
      <c r="D39" s="201" t="n"/>
      <c r="E39" s="290" t="n"/>
      <c r="F39" s="201" t="n"/>
      <c r="G39" s="291" t="n"/>
      <c r="H39" s="292" t="n"/>
      <c r="I39" s="201" t="n"/>
      <c r="J39" s="288" t="n"/>
      <c r="K39" s="201" t="n"/>
      <c r="L39" s="265" t="n"/>
      <c r="M39" s="265" t="n"/>
      <c r="N39" s="265" t="n"/>
      <c r="O39" s="265" t="n"/>
      <c r="P39" s="265" t="n"/>
      <c r="Q39" s="265" t="n"/>
      <c r="R39" s="265" t="n"/>
    </row>
    <row r="40" ht="11.82" customHeight="1" s="167">
      <c r="A40" s="283" t="n"/>
      <c r="B40" s="282" t="n"/>
      <c r="C40" s="179" t="n"/>
      <c r="D40" s="201" t="n"/>
      <c r="E40" s="290" t="n"/>
      <c r="F40" s="201" t="n"/>
      <c r="G40" s="291" t="n"/>
      <c r="H40" s="292" t="n"/>
      <c r="I40" s="201" t="n"/>
      <c r="J40" s="288" t="n"/>
      <c r="K40" s="201" t="n"/>
      <c r="L40" s="265" t="n"/>
      <c r="M40" s="265" t="n"/>
      <c r="N40" s="265" t="n"/>
      <c r="O40" s="265" t="n"/>
      <c r="P40" s="265" t="n"/>
      <c r="Q40" s="265" t="n"/>
      <c r="R40" s="265" t="n"/>
    </row>
    <row r="41" ht="11.82" customHeight="1" s="167">
      <c r="A41" s="283" t="n"/>
      <c r="B41" s="282" t="n"/>
      <c r="C41" s="179" t="n"/>
      <c r="D41" s="201" t="n"/>
      <c r="E41" s="290" t="n"/>
      <c r="F41" s="201" t="n"/>
      <c r="G41" s="291" t="n"/>
      <c r="H41" s="292" t="n"/>
      <c r="I41" s="201" t="n"/>
      <c r="J41" s="288" t="n"/>
      <c r="K41" s="201" t="n"/>
      <c r="L41" s="265" t="n"/>
      <c r="M41" s="265" t="n"/>
      <c r="N41" s="265" t="n"/>
      <c r="O41" s="265" t="n"/>
      <c r="P41" s="265" t="n"/>
      <c r="Q41" s="265" t="n"/>
      <c r="R41" s="265" t="n"/>
    </row>
    <row r="42" ht="11.82" customHeight="1" s="167">
      <c r="A42" s="283" t="n"/>
      <c r="B42" s="282" t="n"/>
      <c r="C42" s="179" t="n"/>
      <c r="D42" s="201" t="n"/>
      <c r="E42" s="290" t="n"/>
      <c r="F42" s="201" t="n"/>
      <c r="G42" s="291" t="n"/>
      <c r="H42" s="292" t="n"/>
      <c r="I42" s="201" t="n"/>
      <c r="J42" s="288" t="n"/>
      <c r="K42" s="201" t="n"/>
      <c r="L42" s="265" t="n"/>
      <c r="M42" s="265" t="n"/>
      <c r="N42" s="265" t="n"/>
      <c r="O42" s="265" t="n"/>
      <c r="P42" s="265" t="n"/>
      <c r="Q42" s="265" t="n"/>
      <c r="R42" s="265" t="n"/>
    </row>
    <row r="43" ht="11.82" customHeight="1" s="167">
      <c r="A43" s="283" t="n"/>
      <c r="B43" s="282" t="n"/>
      <c r="C43" s="179" t="n"/>
      <c r="D43" s="201" t="n"/>
      <c r="E43" s="290" t="n"/>
      <c r="F43" s="201" t="n"/>
      <c r="G43" s="291" t="n"/>
      <c r="H43" s="292" t="n"/>
      <c r="I43" s="201" t="n"/>
      <c r="J43" s="288" t="n"/>
      <c r="K43" s="201" t="n"/>
      <c r="L43" s="265" t="n"/>
      <c r="M43" s="265" t="n"/>
      <c r="N43" s="265" t="n"/>
      <c r="O43" s="265" t="n"/>
      <c r="P43" s="265" t="n"/>
      <c r="Q43" s="265" t="n"/>
      <c r="R43" s="265" t="n"/>
    </row>
    <row r="44" ht="11.82" customHeight="1" s="167">
      <c r="A44" s="283" t="n"/>
      <c r="B44" s="282" t="n"/>
      <c r="C44" s="179" t="n"/>
      <c r="D44" s="201" t="n"/>
      <c r="E44" s="290" t="n"/>
      <c r="F44" s="201" t="n"/>
      <c r="G44" s="291" t="n"/>
      <c r="H44" s="292" t="n"/>
      <c r="I44" s="201" t="n"/>
      <c r="J44" s="288" t="n"/>
      <c r="K44" s="201" t="n"/>
      <c r="L44" s="265" t="n"/>
      <c r="M44" s="265" t="n"/>
      <c r="N44" s="265" t="n"/>
      <c r="O44" s="265" t="n"/>
      <c r="P44" s="265" t="n"/>
      <c r="Q44" s="265" t="n"/>
      <c r="R44" s="265" t="n"/>
    </row>
    <row r="45" ht="11.82" customHeight="1" s="167">
      <c r="A45" s="283" t="n"/>
      <c r="B45" s="282" t="n"/>
      <c r="C45" s="179" t="n"/>
      <c r="D45" s="201" t="n"/>
      <c r="E45" s="290" t="n"/>
      <c r="F45" s="201" t="n"/>
      <c r="G45" s="291" t="n"/>
      <c r="H45" s="292" t="n"/>
      <c r="I45" s="201" t="n"/>
      <c r="J45" s="288" t="n"/>
      <c r="K45" s="201" t="n"/>
      <c r="L45" s="265" t="n"/>
      <c r="M45" s="265" t="n"/>
      <c r="N45" s="265" t="n"/>
      <c r="O45" s="265" t="n"/>
      <c r="P45" s="265" t="n"/>
      <c r="Q45" s="265" t="n"/>
      <c r="R45" s="265" t="n"/>
    </row>
    <row r="46" ht="11.82" customHeight="1" s="167">
      <c r="A46" s="283" t="n"/>
      <c r="B46" s="282" t="n"/>
      <c r="C46" s="179" t="n"/>
      <c r="D46" s="201" t="n"/>
      <c r="E46" s="290" t="n"/>
      <c r="F46" s="201" t="n"/>
      <c r="G46" s="291" t="n"/>
      <c r="H46" s="292" t="n"/>
      <c r="I46" s="201" t="n"/>
      <c r="J46" s="288" t="n"/>
      <c r="K46" s="201" t="n"/>
      <c r="L46" s="265" t="n"/>
      <c r="M46" s="265" t="n"/>
      <c r="N46" s="265" t="n"/>
      <c r="O46" s="265" t="n"/>
      <c r="P46" s="265" t="n"/>
      <c r="Q46" s="265" t="n"/>
      <c r="R46" s="265" t="n"/>
    </row>
    <row r="47" ht="11.82" customHeight="1" s="167">
      <c r="A47" s="283" t="n"/>
      <c r="B47" s="282" t="n"/>
      <c r="C47" s="179" t="n"/>
      <c r="D47" s="201" t="n"/>
      <c r="E47" s="290" t="n"/>
      <c r="F47" s="201" t="n"/>
      <c r="G47" s="291" t="n"/>
      <c r="H47" s="292" t="n"/>
      <c r="I47" s="201" t="n"/>
      <c r="J47" s="288" t="n"/>
      <c r="K47" s="201" t="n"/>
      <c r="L47" s="265" t="n"/>
      <c r="M47" s="265" t="n"/>
      <c r="N47" s="265" t="n"/>
      <c r="O47" s="265" t="n"/>
      <c r="P47" s="265" t="n"/>
      <c r="Q47" s="265" t="n"/>
      <c r="R47" s="265" t="n"/>
    </row>
    <row r="48" ht="11.82" customHeight="1" s="167">
      <c r="A48" s="283" t="n"/>
      <c r="B48" s="282" t="n"/>
      <c r="C48" s="179" t="n"/>
      <c r="D48" s="201" t="n"/>
      <c r="E48" s="290" t="n"/>
      <c r="F48" s="201" t="n"/>
      <c r="G48" s="291" t="n"/>
      <c r="H48" s="292" t="n"/>
      <c r="I48" s="201" t="n"/>
      <c r="J48" s="288" t="n"/>
      <c r="K48" s="201" t="n"/>
      <c r="L48" s="265" t="n"/>
      <c r="M48" s="265" t="n"/>
      <c r="N48" s="265" t="n"/>
      <c r="O48" s="265" t="n"/>
      <c r="P48" s="265" t="n"/>
      <c r="Q48" s="265" t="n"/>
      <c r="R48" s="265" t="n"/>
    </row>
    <row r="49" ht="11.82" customHeight="1" s="167">
      <c r="A49" s="283" t="n"/>
      <c r="B49" s="282" t="n"/>
      <c r="C49" s="179" t="n"/>
      <c r="D49" s="201" t="n"/>
      <c r="E49" s="290" t="n"/>
      <c r="F49" s="201" t="n"/>
      <c r="G49" s="291" t="n"/>
      <c r="H49" s="292" t="n"/>
      <c r="I49" s="201" t="n"/>
      <c r="J49" s="288" t="n"/>
      <c r="K49" s="201" t="n"/>
      <c r="L49" s="265" t="n"/>
      <c r="M49" s="265" t="n"/>
      <c r="N49" s="265" t="n"/>
      <c r="O49" s="265" t="n"/>
      <c r="P49" s="265" t="n"/>
      <c r="Q49" s="265" t="n"/>
      <c r="R49" s="265" t="n"/>
    </row>
    <row r="50" ht="11.82" customHeight="1" s="167">
      <c r="A50" s="283" t="n"/>
      <c r="B50" s="282" t="n"/>
      <c r="C50" s="179" t="n"/>
      <c r="D50" s="201" t="n"/>
      <c r="E50" s="290" t="n"/>
      <c r="F50" s="201" t="n"/>
      <c r="G50" s="291" t="n"/>
      <c r="H50" s="292" t="n"/>
      <c r="I50" s="201" t="n"/>
      <c r="J50" s="288" t="n"/>
      <c r="K50" s="201" t="n"/>
      <c r="L50" s="265" t="n"/>
      <c r="M50" s="265" t="n"/>
      <c r="N50" s="265" t="n"/>
      <c r="O50" s="265" t="n"/>
      <c r="P50" s="265" t="n"/>
      <c r="Q50" s="265" t="n"/>
      <c r="R50" s="265" t="n"/>
    </row>
    <row r="51" ht="11.82" customHeight="1" s="167">
      <c r="A51" s="283" t="n"/>
      <c r="B51" s="282" t="n"/>
      <c r="C51" s="179" t="n"/>
      <c r="D51" s="201" t="n"/>
      <c r="E51" s="290" t="n"/>
      <c r="F51" s="201" t="n"/>
      <c r="G51" s="291" t="n"/>
      <c r="H51" s="292" t="n"/>
      <c r="I51" s="201" t="n"/>
      <c r="J51" s="288" t="n"/>
      <c r="K51" s="201" t="n"/>
      <c r="L51" s="265" t="n"/>
      <c r="M51" s="265" t="n"/>
      <c r="N51" s="265" t="n"/>
      <c r="O51" s="265" t="n"/>
      <c r="P51" s="265" t="n"/>
      <c r="Q51" s="265" t="n"/>
      <c r="R51" s="265" t="n"/>
    </row>
    <row r="52" ht="11.82" customHeight="1" s="167">
      <c r="A52" s="293" t="n"/>
      <c r="B52" s="294" t="n"/>
      <c r="C52" s="174" t="n"/>
      <c r="D52" s="183" t="n"/>
      <c r="E52" s="296" t="n"/>
      <c r="F52" s="174" t="n"/>
      <c r="G52" s="297" t="n"/>
      <c r="H52" s="298" t="n"/>
      <c r="I52" s="174" t="n"/>
      <c r="J52" s="299" t="n"/>
      <c r="K52" s="183" t="n"/>
      <c r="L52" s="301" t="n"/>
      <c r="M52" s="301" t="n"/>
      <c r="N52" s="301" t="n"/>
      <c r="O52" s="301" t="n"/>
      <c r="P52" s="301" t="n"/>
      <c r="Q52" s="301" t="n"/>
      <c r="R52" s="301" t="n"/>
    </row>
    <row r="53" ht="19.84" customHeight="1" s="167">
      <c r="A53" s="302" t="inlineStr">
        <is>
          <t>特記事項</t>
        </is>
      </c>
      <c r="B53" s="185" t="n"/>
      <c r="C53" s="303" t="n"/>
      <c r="D53" s="303" t="n"/>
      <c r="E53" s="265" t="n"/>
      <c r="F53" s="265" t="n"/>
      <c r="G53" s="265" t="n"/>
      <c r="H53" s="265" t="n"/>
      <c r="I53" s="265" t="n"/>
      <c r="J53" s="264" t="n"/>
      <c r="K53" s="264" t="n"/>
      <c r="L53" s="264" t="n"/>
      <c r="M53" s="264" t="n"/>
      <c r="N53" s="265" t="n"/>
      <c r="O53" s="264" t="n"/>
      <c r="P53" s="304" t="inlineStr">
        <is>
          <t>qc={Qrd+(m0+nm1)9.81}/1000/A</t>
        </is>
      </c>
    </row>
    <row r="54" ht="11.34" customHeight="1" s="167" thickBot="1">
      <c r="A54" s="305" t="n"/>
      <c r="B54" s="306" t="n"/>
      <c r="C54" s="306" t="n"/>
      <c r="D54" s="306" t="n"/>
      <c r="E54" s="305" t="n"/>
      <c r="F54" s="305" t="n"/>
      <c r="G54" s="305" t="n"/>
      <c r="H54" s="305" t="n"/>
      <c r="I54" s="305" t="n"/>
      <c r="J54" s="305" t="n"/>
      <c r="K54" s="305" t="n"/>
      <c r="L54" s="305" t="n"/>
      <c r="M54" s="305" t="n"/>
      <c r="N54" s="305" t="n"/>
      <c r="O54" s="305" t="n"/>
      <c r="P54" s="305" t="n"/>
      <c r="Q54" s="307" t="inlineStr">
        <is>
          <t>[1kN/m2≒0.0102kgf/cm2]</t>
        </is>
      </c>
      <c r="R54" s="205" t="n"/>
    </row>
  </sheetData>
  <mergeCells count="210">
    <mergeCell ref="B11:D11"/>
    <mergeCell ref="A5:D5"/>
    <mergeCell ref="H35:I35"/>
    <mergeCell ref="B42:D42"/>
    <mergeCell ref="F5:H5"/>
    <mergeCell ref="H10:I10"/>
    <mergeCell ref="J10:K10"/>
    <mergeCell ref="A7:A8"/>
    <mergeCell ref="E23:F23"/>
    <mergeCell ref="J19:K19"/>
    <mergeCell ref="G3:L3"/>
    <mergeCell ref="B44:D44"/>
    <mergeCell ref="J28:K28"/>
    <mergeCell ref="H9:I9"/>
    <mergeCell ref="E8:F8"/>
    <mergeCell ref="B34:D34"/>
    <mergeCell ref="H39:I39"/>
    <mergeCell ref="B28:D28"/>
    <mergeCell ref="E51:F51"/>
    <mergeCell ref="B37:D37"/>
    <mergeCell ref="B30:D30"/>
    <mergeCell ref="J45:K45"/>
    <mergeCell ref="H52:I52"/>
    <mergeCell ref="B20:D20"/>
    <mergeCell ref="E34:F34"/>
    <mergeCell ref="H45:I45"/>
    <mergeCell ref="E49:F49"/>
    <mergeCell ref="E27:F27"/>
    <mergeCell ref="H37:I37"/>
    <mergeCell ref="E36:F36"/>
    <mergeCell ref="J31:K31"/>
    <mergeCell ref="H13:I13"/>
    <mergeCell ref="A53:B53"/>
    <mergeCell ref="L5:O5"/>
    <mergeCell ref="O2:P2"/>
    <mergeCell ref="J21:K21"/>
    <mergeCell ref="Q2:R2"/>
    <mergeCell ref="H15:I15"/>
    <mergeCell ref="L4:O4"/>
    <mergeCell ref="H23:I23"/>
    <mergeCell ref="E22:F22"/>
    <mergeCell ref="J23:K23"/>
    <mergeCell ref="B43:D43"/>
    <mergeCell ref="E12:F12"/>
    <mergeCell ref="O3:P3"/>
    <mergeCell ref="I6:J6"/>
    <mergeCell ref="Q3:R3"/>
    <mergeCell ref="B8:D8"/>
    <mergeCell ref="B17:D17"/>
    <mergeCell ref="H41:I41"/>
    <mergeCell ref="E14:F14"/>
    <mergeCell ref="H50:I50"/>
    <mergeCell ref="E48:F48"/>
    <mergeCell ref="B10:D10"/>
    <mergeCell ref="Q54:R54"/>
    <mergeCell ref="H34:I34"/>
    <mergeCell ref="H25:I25"/>
    <mergeCell ref="E38:F38"/>
    <mergeCell ref="J34:K34"/>
    <mergeCell ref="B19:D19"/>
    <mergeCell ref="H49:I49"/>
    <mergeCell ref="B9:D9"/>
    <mergeCell ref="P53:R53"/>
    <mergeCell ref="J49:K49"/>
    <mergeCell ref="J27:K27"/>
    <mergeCell ref="H36:I36"/>
    <mergeCell ref="D3:F3"/>
    <mergeCell ref="E40:F40"/>
    <mergeCell ref="J36:K36"/>
    <mergeCell ref="H17:I17"/>
    <mergeCell ref="H11:I11"/>
    <mergeCell ref="B36:D36"/>
    <mergeCell ref="J20:K20"/>
    <mergeCell ref="J11:K11"/>
    <mergeCell ref="B45:D45"/>
    <mergeCell ref="E2:L2"/>
    <mergeCell ref="H19:I19"/>
    <mergeCell ref="H28:I28"/>
    <mergeCell ref="E26:F26"/>
    <mergeCell ref="J22:K22"/>
    <mergeCell ref="B47:D47"/>
    <mergeCell ref="H12:I12"/>
    <mergeCell ref="E16:F16"/>
    <mergeCell ref="J12:K12"/>
    <mergeCell ref="B31:D31"/>
    <mergeCell ref="H48:I48"/>
    <mergeCell ref="B46:D46"/>
    <mergeCell ref="J46:K46"/>
    <mergeCell ref="E25:F25"/>
    <mergeCell ref="J51:K51"/>
    <mergeCell ref="B21:D21"/>
    <mergeCell ref="H14:I14"/>
    <mergeCell ref="B39:D39"/>
    <mergeCell ref="E18:F18"/>
    <mergeCell ref="B48:D48"/>
    <mergeCell ref="J48:K48"/>
    <mergeCell ref="E50:F50"/>
    <mergeCell ref="B14:D14"/>
    <mergeCell ref="J29:K29"/>
    <mergeCell ref="H38:I38"/>
    <mergeCell ref="B23:D23"/>
    <mergeCell ref="J38:K38"/>
    <mergeCell ref="P7:Q8"/>
    <mergeCell ref="H43:I43"/>
    <mergeCell ref="B13:D13"/>
    <mergeCell ref="L6:O6"/>
    <mergeCell ref="E52:F52"/>
    <mergeCell ref="H31:I31"/>
    <mergeCell ref="E39:F39"/>
    <mergeCell ref="H40:I40"/>
    <mergeCell ref="E44:F44"/>
    <mergeCell ref="J40:K40"/>
    <mergeCell ref="H21:I21"/>
    <mergeCell ref="E20:F20"/>
    <mergeCell ref="E29:F29"/>
    <mergeCell ref="J24:K24"/>
    <mergeCell ref="B49:D49"/>
    <mergeCell ref="E13:F13"/>
    <mergeCell ref="A3:B3"/>
    <mergeCell ref="E31:F31"/>
    <mergeCell ref="B51:D51"/>
    <mergeCell ref="J26:K26"/>
    <mergeCell ref="J35:K35"/>
    <mergeCell ref="E46:F46"/>
    <mergeCell ref="E15:F15"/>
    <mergeCell ref="B41:D41"/>
    <mergeCell ref="H16:I16"/>
    <mergeCell ref="J16:K16"/>
    <mergeCell ref="B35:D35"/>
    <mergeCell ref="B50:D50"/>
    <mergeCell ref="J25:K25"/>
    <mergeCell ref="H22:I22"/>
    <mergeCell ref="B25:D25"/>
    <mergeCell ref="F6:H6"/>
    <mergeCell ref="J50:K50"/>
    <mergeCell ref="E21:F21"/>
    <mergeCell ref="E32:F32"/>
    <mergeCell ref="E7:F7"/>
    <mergeCell ref="B22:D22"/>
    <mergeCell ref="E41:F41"/>
    <mergeCell ref="H42:I42"/>
    <mergeCell ref="A1:F1"/>
    <mergeCell ref="J42:K42"/>
    <mergeCell ref="G1:Q1"/>
    <mergeCell ref="B12:D12"/>
    <mergeCell ref="J52:K52"/>
    <mergeCell ref="H30:I30"/>
    <mergeCell ref="E43:F43"/>
    <mergeCell ref="J39:K39"/>
    <mergeCell ref="J44:K44"/>
    <mergeCell ref="H20:I20"/>
    <mergeCell ref="E24:F24"/>
    <mergeCell ref="H29:I29"/>
    <mergeCell ref="A4:D4"/>
    <mergeCell ref="J14:K14"/>
    <mergeCell ref="E33:F33"/>
    <mergeCell ref="E42:F42"/>
    <mergeCell ref="J37:K37"/>
    <mergeCell ref="H44:I44"/>
    <mergeCell ref="B29:D29"/>
    <mergeCell ref="E17:F17"/>
    <mergeCell ref="J13:K13"/>
    <mergeCell ref="B38:D38"/>
    <mergeCell ref="E35:F35"/>
    <mergeCell ref="J30:K30"/>
    <mergeCell ref="E10:F10"/>
    <mergeCell ref="H46:I46"/>
    <mergeCell ref="E19:F19"/>
    <mergeCell ref="J15:K15"/>
    <mergeCell ref="H51:I51"/>
    <mergeCell ref="B40:D40"/>
    <mergeCell ref="E28:F28"/>
    <mergeCell ref="B15:D15"/>
    <mergeCell ref="E9:F9"/>
    <mergeCell ref="B24:D24"/>
    <mergeCell ref="B33:D33"/>
    <mergeCell ref="A2:B2"/>
    <mergeCell ref="E30:F30"/>
    <mergeCell ref="A6:D6"/>
    <mergeCell ref="H32:I32"/>
    <mergeCell ref="H7:I7"/>
    <mergeCell ref="B32:D32"/>
    <mergeCell ref="J32:K32"/>
    <mergeCell ref="E11:F11"/>
    <mergeCell ref="B26:D26"/>
    <mergeCell ref="E45:F45"/>
    <mergeCell ref="J41:K41"/>
    <mergeCell ref="F4:H4"/>
    <mergeCell ref="I5:J5"/>
    <mergeCell ref="H47:I47"/>
    <mergeCell ref="B7:D7"/>
    <mergeCell ref="J47:K47"/>
    <mergeCell ref="H27:I27"/>
    <mergeCell ref="B16:D16"/>
    <mergeCell ref="I4:J4"/>
    <mergeCell ref="J43:K43"/>
    <mergeCell ref="J7:K9"/>
    <mergeCell ref="H24:I24"/>
    <mergeCell ref="H18:I18"/>
    <mergeCell ref="H33:I33"/>
    <mergeCell ref="B27:D27"/>
    <mergeCell ref="E37:F37"/>
    <mergeCell ref="J33:K33"/>
    <mergeCell ref="B52:D52"/>
    <mergeCell ref="B18:D18"/>
    <mergeCell ref="J18:K18"/>
    <mergeCell ref="H8:I8"/>
    <mergeCell ref="E47:F47"/>
    <mergeCell ref="J17:K17"/>
    <mergeCell ref="H26:I26"/>
  </mergeCells>
  <dataValidations count="1">
    <dataValidation sqref="E10:E20" showDropDown="0" showInputMessage="1" showErrorMessage="1" allowBlank="1" errorTitle="校正範囲外" error="0～232.1 の範囲で入力してください（現行力計の校正範囲）。" promptTitle="入力値" prompt="ダイヤルゲージ読み（0～232.1）を入力" type="decimal" operator="between">
      <formula1>0</formula1>
      <formula2>232.1</formula2>
    </dataValidation>
  </dataValidations>
  <printOptions horizontalCentered="1"/>
  <pageMargins left="0.3149606299212598" right="0.3149606299212598" top="0.3149606299212598" bottom="0.2755905511811024" header="0" footer="0"/>
  <pageSetup orientation="portrait" paperSize="9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Tetsuroi4da</dc:creator>
  <dcterms:created xmlns:dcterms="http://purl.org/dc/terms/" xmlns:xsi="http://www.w3.org/2001/XMLSchema-instance" xsi:type="dcterms:W3CDTF">2011-05-17T08:00:31Z</dcterms:created>
  <dcterms:modified xmlns:dcterms="http://purl.org/dc/terms/" xmlns:xsi="http://www.w3.org/2001/XMLSchema-instance" xsi:type="dcterms:W3CDTF">2026-10-20T10:38:04Z</dcterms:modified>
  <cp:lastModifiedBy>mori</cp:lastModifiedBy>
  <cp:lastPrinted>2021-09-29T09:00:00Z</cp:lastPrinted>
</cp:coreProperties>
</file>